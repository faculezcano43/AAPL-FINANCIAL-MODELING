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 STATEMENT" sheetId="5" state="visible" r:id="rId7"/>
    <sheet name="SUPPORTING SCHED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<sst xmlns="http://schemas.openxmlformats.org/spreadsheetml/2006/main" count="192" uniqueCount="150">
  <si>
    <t xml:space="preserve">Apple Inc. (NASDAQ: AAPL)</t>
  </si>
  <si>
    <t xml:space="preserve">https://www.sec.gov/Archives/edgar/data/320193/000032019325000079/aapl-20250927.htm</t>
  </si>
  <si>
    <t xml:space="preserve">3-Statement Financial Model</t>
  </si>
  <si>
    <t xml:space="preserve">Prepared by: Facundo Santiago Lezcano</t>
  </si>
  <si>
    <t xml:space="preserve">Date: September 2026</t>
  </si>
  <si>
    <t xml:space="preserve">Projection Period: 2026-2030</t>
  </si>
  <si>
    <t xml:space="preserve">Source: Apple Inc. FY2025 Form 10-K (fiscal year ended September 27, 2025)</t>
  </si>
  <si>
    <t xml:space="preserve">USD in millions unless otherwise stated</t>
  </si>
  <si>
    <t xml:space="preserve">README</t>
  </si>
  <si>
    <t xml:space="preserve">Source:</t>
  </si>
  <si>
    <t xml:space="preserve">Apple Inc. FY2025 Form 10-K filing, SEC EDGAR (filed October 31, 2025)</t>
  </si>
  <si>
    <t xml:space="preserve">Projection Period:</t>
  </si>
  <si>
    <t xml:space="preserve">2026E-2030E</t>
  </si>
  <si>
    <t xml:space="preserve">Units:</t>
  </si>
  <si>
    <t xml:space="preserve">Color Coding:</t>
  </si>
  <si>
    <t xml:space="preserve">Blue = Hardcoded inputs</t>
  </si>
  <si>
    <t xml:space="preserve">Black = Formulas</t>
  </si>
  <si>
    <t xml:space="preserve">Green = Cross-sheet references</t>
  </si>
  <si>
    <t xml:space="preserve">Key structural notes vs. a Consumer Staples model (e.g., PepsiCo):</t>
  </si>
  <si>
    <t xml:space="preserve">1. Revenue is modeled by product/service category (iPhone, Mac, iPad, Wearables, Services), not a single blended growth rate.</t>
  </si>
  <si>
    <t xml:space="preserve">2. Cost of Sales is split between Products and Services (different margin profiles), and Opex is split into R&amp;D and SG&amp;A.</t>
  </si>
  <si>
    <t xml:space="preserve">3. Apple has not broken out interest expense separately on the income statement since FY2021; 'Other Income/(Expense), net' is</t>
  </si>
  <si>
    <t xml:space="preserve">   modeled as a single assumption (% of revenue) rather than a computed interest income/expense schedule.</t>
  </si>
  <si>
    <t xml:space="preserve">4. Working capital includes Vendor Non-Trade Receivables (amounts due from contract manufacturers), unique to Apple's supply chain.</t>
  </si>
  <si>
    <t xml:space="preserve">5. Deferred Revenue is modeled as a liability driven by Services revenue (bundled service value recognized over time).</t>
  </si>
  <si>
    <t xml:space="preserve">6. Retained Earnings is reduced by both Dividends and Share Repurchases (unlike some simplified staples templates, Apple pays a</t>
  </si>
  <si>
    <t xml:space="preserve">   meaningful dividend in addition to very large buybacks).</t>
  </si>
  <si>
    <t xml:space="preserve">7. 'Other Non-current Assets' is used as a balancing plug (Total L&amp;E less all other modeled assets), consistent with how Goodwill/</t>
  </si>
  <si>
    <t xml:space="preserve">   Intangibles are simplified in the PEP template - this keeps the Balance Sheet Check at 0.</t>
  </si>
  <si>
    <t xml:space="preserve">Historical Results</t>
  </si>
  <si>
    <t xml:space="preserve">Forecast Period</t>
  </si>
  <si>
    <t xml:space="preserve">2024A</t>
  </si>
  <si>
    <t xml:space="preserve">2025A</t>
  </si>
  <si>
    <t xml:space="preserve">2026F</t>
  </si>
  <si>
    <t xml:space="preserve">2027F</t>
  </si>
  <si>
    <t xml:space="preserve">2028F</t>
  </si>
  <si>
    <t xml:space="preserve">2029F</t>
  </si>
  <si>
    <t xml:space="preserve">2030F</t>
  </si>
  <si>
    <t xml:space="preserve">Assumptions</t>
  </si>
  <si>
    <t xml:space="preserve">Revenue Assumptions</t>
  </si>
  <si>
    <t xml:space="preserve">iPhone Growth (% Change)</t>
  </si>
  <si>
    <t xml:space="preserve">Mac Growth (% Change)</t>
  </si>
  <si>
    <t xml:space="preserve">iPad Growth (% Change)</t>
  </si>
  <si>
    <t xml:space="preserve">Wearables, Home and Accessories Growth (% Change)</t>
  </si>
  <si>
    <t xml:space="preserve">Services Growth (% Change)</t>
  </si>
  <si>
    <t xml:space="preserve">Margin Assumptions</t>
  </si>
  <si>
    <t xml:space="preserve">Products COGS (% of Products Revenue)</t>
  </si>
  <si>
    <t xml:space="preserve">Services COGS (% of Services Revenue)</t>
  </si>
  <si>
    <t xml:space="preserve">Research &amp; Development (% of Total Revenue)</t>
  </si>
  <si>
    <t xml:space="preserve">Selling, General &amp; Administrative (% of Total Revenue)</t>
  </si>
  <si>
    <t xml:space="preserve">Depreciation &amp; Amortization (% of PP&amp;E, Opening)</t>
  </si>
  <si>
    <t xml:space="preserve">Other Income/(Expense), net (% of Total Revenue)</t>
  </si>
  <si>
    <t xml:space="preserve">Tax Rate (% of Earnings Before Tax)</t>
  </si>
  <si>
    <t xml:space="preserve">Working Capital Assumptions</t>
  </si>
  <si>
    <t xml:space="preserve">DSO - Accounts Receivable (days)</t>
  </si>
  <si>
    <t xml:space="preserve">Vendor Non-Trade Receivables (days)</t>
  </si>
  <si>
    <t xml:space="preserve">DIO - Inventory (days, of Total Cost of Sales)</t>
  </si>
  <si>
    <t xml:space="preserve">DPO - Accounts Payable (days, of Total Cost of Sales)</t>
  </si>
  <si>
    <t xml:space="preserve">Deferred Revenue (days, of Services Revenue)</t>
  </si>
  <si>
    <t xml:space="preserve">CapEx, Debt &amp; Capital Return Assumptions</t>
  </si>
  <si>
    <t xml:space="preserve">Capital Expenditures ($mm)</t>
  </si>
  <si>
    <t xml:space="preserve">Debt Issuance ($mm)</t>
  </si>
  <si>
    <t xml:space="preserve">Debt Repayment ($mm) - Term Debt + Commercial Paper, net</t>
  </si>
  <si>
    <t xml:space="preserve">Dividends Paid ($mm)</t>
  </si>
  <si>
    <t xml:space="preserve">Share Repurchases ($mm)</t>
  </si>
  <si>
    <t xml:space="preserve">Days in Period</t>
  </si>
  <si>
    <t xml:space="preserve">Share-based Compensation (% of Total Revenue)</t>
  </si>
  <si>
    <t xml:space="preserve">Income Statement</t>
  </si>
  <si>
    <t xml:space="preserve">Revenue</t>
  </si>
  <si>
    <t xml:space="preserve">iPhone</t>
  </si>
  <si>
    <t xml:space="preserve">Mac</t>
  </si>
  <si>
    <t xml:space="preserve">iPad</t>
  </si>
  <si>
    <t xml:space="preserve">Wearables, Home and Accessories</t>
  </si>
  <si>
    <t xml:space="preserve">Total Products Net Sales</t>
  </si>
  <si>
    <t xml:space="preserve">Services</t>
  </si>
  <si>
    <t xml:space="preserve">Total Net Sales</t>
  </si>
  <si>
    <t xml:space="preserve">Cost of Sales</t>
  </si>
  <si>
    <t xml:space="preserve">Products Cost of Sales</t>
  </si>
  <si>
    <t xml:space="preserve">Services Cost of Sales</t>
  </si>
  <si>
    <t xml:space="preserve">Total Cost of Sales</t>
  </si>
  <si>
    <t xml:space="preserve">Gross Margin</t>
  </si>
  <si>
    <t xml:space="preserve">Operating Expenses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</si>
  <si>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</si>
  <si>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</si>
  <si>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</si>
  <si>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</t>
  </si>
  <si>
    <t xml:space="preserve">Other Income/(Expense), net</t>
  </si>
  <si>
    <t xml:space="preserve">Income Before Provision for Income Taxes</t>
  </si>
  <si>
    <t xml:space="preserve">Provision for Income Taxes</t>
  </si>
  <si>
    <t xml:space="preserve">Net Income</t>
  </si>
  <si>
    <t xml:space="preserve">Balance Sheet</t>
  </si>
  <si>
    <t xml:space="preserve">Assets</t>
  </si>
  <si>
    <t xml:space="preserve">Cash &amp; Cash Equivalents</t>
  </si>
  <si>
    <t xml:space="preserve">Marketable Securities (Current)</t>
  </si>
  <si>
    <t xml:space="preserve">Accounts Receivable</t>
  </si>
  <si>
    <t xml:space="preserve">Vendor Non-Trade Receivables</t>
  </si>
  <si>
    <t xml:space="preserve">Inventories</t>
  </si>
  <si>
    <t xml:space="preserve">Other Current Assets</t>
  </si>
  <si>
    <t xml:space="preserve">Total Current Assets</t>
  </si>
  <si>
    <t xml:space="preserve">Marketable Securities (Non-current)</t>
  </si>
  <si>
    <t xml:space="preserve">Property, Plant &amp; Equipment, net</t>
  </si>
  <si>
    <t xml:space="preserve">Other Non-current Assets (Plug)</t>
  </si>
  <si>
    <t xml:space="preserve">Total Non-current Assets</t>
  </si>
  <si>
    <t xml:space="preserve">Total Assets</t>
  </si>
  <si>
    <t xml:space="preserve">Liabilities</t>
  </si>
  <si>
    <t xml:space="preserve">Accounts Payable</t>
  </si>
  <si>
    <t xml:space="preserve">Deferred Revenue</t>
  </si>
  <si>
    <t xml:space="preserve">Debt (Commercial Paper + Term Debt)</t>
  </si>
  <si>
    <t xml:space="preserve">Other Current Liabilities</t>
  </si>
  <si>
    <t xml:space="preserve">Other Non-current Liabilities</t>
  </si>
  <si>
    <t xml:space="preserve">Total Liabilities</t>
  </si>
  <si>
    <t xml:space="preserve">Shareholders' Equity</t>
  </si>
  <si>
    <t xml:space="preserve">Common Stock &amp; Additional Paid-in Capital</t>
  </si>
  <si>
    <t xml:space="preserve">Retained Earnings / (Accumulated Deficit)</t>
  </si>
  <si>
    <t xml:space="preserve">Accumulated Other Comprehensive Loss (AOCI)</t>
  </si>
  <si>
    <t xml:space="preserve">Total Shareholders' Equity</t>
  </si>
  <si>
    <t xml:space="preserve">Total Liabilities &amp; Shareholders' Equity</t>
  </si>
  <si>
    <t xml:space="preserve">Check</t>
  </si>
  <si>
    <t xml:space="preserve">Cash Flow Statement</t>
  </si>
  <si>
    <t xml:space="preserve">Operating Cash Flow</t>
  </si>
  <si>
    <t xml:space="preserve">Plus: Depreciation &amp; Amortization</t>
  </si>
  <si>
    <t xml:space="preserve">Plus: Share-based Compensation</t>
  </si>
  <si>
    <t xml:space="preserve">Plus/(Less): Changes in Net Working Capital</t>
  </si>
  <si>
    <t xml:space="preserve">Other Non-cash Adjustments</t>
  </si>
  <si>
    <t xml:space="preserve">Cash from Operations</t>
  </si>
  <si>
    <t xml:space="preserve">Investing Cash Flow</t>
  </si>
  <si>
    <t xml:space="preserve">Capital Expenditures</t>
  </si>
  <si>
    <t xml:space="preserve">Cash from Investing</t>
  </si>
  <si>
    <t xml:space="preserve">Financing Cash Flow</t>
  </si>
  <si>
    <t xml:space="preserve">Debt Issuance (Repayment), net</t>
  </si>
  <si>
    <t xml:space="preserve">Dividends Paid</t>
  </si>
  <si>
    <t xml:space="preserve">Share Repurchases</t>
  </si>
  <si>
    <t xml:space="preserve">Cash from Financing</t>
  </si>
  <si>
    <t xml:space="preserve">Net Increase (Decrease) in Cash</t>
  </si>
  <si>
    <t xml:space="preserve">Opening Cash Balance</t>
  </si>
  <si>
    <t xml:space="preserve">Closing Cash Balance</t>
  </si>
  <si>
    <t xml:space="preserve">Supporting Schedules</t>
  </si>
  <si>
    <t xml:space="preserve">Working Capital Schedule</t>
  </si>
  <si>
    <t xml:space="preserve">Inventory</t>
  </si>
  <si>
    <t xml:space="preserve">Net Working Capital (NWC)</t>
  </si>
  <si>
    <t xml:space="preserve">Change in NWC</t>
  </si>
  <si>
    <t xml:space="preserve">Depreciation Schedule</t>
  </si>
  <si>
    <t xml:space="preserve">PP&amp;E Opening</t>
  </si>
  <si>
    <t xml:space="preserve">Plus: Capital Expenditures</t>
  </si>
  <si>
    <t xml:space="preserve">Less: Depreciation &amp; Amortization</t>
  </si>
  <si>
    <t xml:space="preserve">PP&amp;E Closing</t>
  </si>
  <si>
    <t xml:space="preserve">Debt Schedule</t>
  </si>
  <si>
    <t xml:space="preserve">Debt Opening</t>
  </si>
  <si>
    <t xml:space="preserve">Issuance (Repayment), net</t>
  </si>
  <si>
    <t xml:space="preserve">Debt Closing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</si>
</sst>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;\(0\)"/>
    <numFmt numFmtId="167" formatCode="#,##0;\(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3271D2"/>
      <name val="Calibri"/>
      <family val="0"/>
      <charset val="1"/>
    </font>
    <font>
      <sz val="11"/>
      <color rgb="FF3C7D22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271D2"/>
        <bgColor rgb="FF0066CC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C3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271D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C7D2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C5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3" min="3" style="1" width="70"/>
  </cols>
  <sheetData>
    <row r="4" customFormat="false" ht="17.25" hidden="false" customHeight="true" outlineLevel="0" collapsed="false">
      <c r="C4" s="2" t="s">
        <v>0</v>
      </c>
    </row>
    <row r="6" customFormat="false" ht="14.25" hidden="false" customHeight="true" outlineLevel="0" collapsed="false">
      <c r="C6" s="1" t="s">
        <v>1</v>
      </c>
    </row>
    <row r="7" customFormat="false" ht="14.25" hidden="false" customHeight="true" outlineLevel="0" collapsed="false">
      <c r="C7" s="3" t="s">
        <v>2</v>
      </c>
    </row>
    <row r="10" customFormat="false" ht="14.25" hidden="false" customHeight="true" outlineLevel="0" collapsed="false">
      <c r="C10" s="3" t="s">
        <v>3</v>
      </c>
    </row>
    <row r="12" customFormat="false" ht="14.25" hidden="false" customHeight="true" outlineLevel="0" collapsed="false">
      <c r="C12" s="3" t="s">
        <v>4</v>
      </c>
    </row>
    <row r="14" customFormat="false" ht="14.25" hidden="false" customHeight="true" outlineLevel="0" collapsed="false">
      <c r="C14" s="3" t="s">
        <v>5</v>
      </c>
    </row>
    <row r="16" customFormat="false" ht="14.25" hidden="false" customHeight="true" outlineLevel="0" collapsed="false">
      <c r="C16" s="3" t="s">
        <v>6</v>
      </c>
    </row>
    <row r="18" customFormat="false" ht="14.25" hidden="false" customHeight="true" outlineLevel="0" collapsed="false">
      <c r="C18" s="1" t="s">
        <v>7</v>
      </c>
    </row>
    <row r="23" customFormat="false" ht="14.25" hidden="false" customHeight="true" outlineLevel="0" collapsed="false">
      <c r="C23" s="1" t="s">
        <v>8</v>
      </c>
    </row>
    <row r="25" customFormat="false" ht="14.25" hidden="false" customHeight="true" outlineLevel="0" collapsed="false">
      <c r="C25" s="1" t="s">
        <v>9</v>
      </c>
    </row>
    <row r="26" customFormat="false" ht="14.25" hidden="false" customHeight="true" outlineLevel="0" collapsed="false">
      <c r="C26" s="1" t="s">
        <v>10</v>
      </c>
    </row>
    <row r="28" customFormat="false" ht="14.25" hidden="false" customHeight="true" outlineLevel="0" collapsed="false">
      <c r="C28" s="1" t="s">
        <v>11</v>
      </c>
    </row>
    <row r="29" customFormat="false" ht="14.25" hidden="false" customHeight="true" outlineLevel="0" collapsed="false">
      <c r="C29" s="1" t="s">
        <v>12</v>
      </c>
    </row>
    <row r="31" customFormat="false" ht="14.25" hidden="false" customHeight="true" outlineLevel="0" collapsed="false">
      <c r="C31" s="1" t="s">
        <v>13</v>
      </c>
    </row>
    <row r="32" customFormat="false" ht="14.25" hidden="false" customHeight="true" outlineLevel="0" collapsed="false">
      <c r="C32" s="1" t="s">
        <v>7</v>
      </c>
    </row>
    <row r="34" customFormat="false" ht="14.25" hidden="false" customHeight="true" outlineLevel="0" collapsed="false">
      <c r="C34" s="1" t="s">
        <v>14</v>
      </c>
    </row>
    <row r="35" customFormat="false" ht="14.25" hidden="false" customHeight="true" outlineLevel="0" collapsed="false">
      <c r="C35" s="1" t="s">
        <v>15</v>
      </c>
    </row>
    <row r="36" customFormat="false" ht="14.25" hidden="false" customHeight="true" outlineLevel="0" collapsed="false">
      <c r="C36" s="1" t="s">
        <v>16</v>
      </c>
    </row>
    <row r="37" customFormat="false" ht="14.25" hidden="false" customHeight="true" outlineLevel="0" collapsed="false">
      <c r="C37" s="1" t="s">
        <v>17</v>
      </c>
    </row>
    <row r="40" customFormat="false" ht="14.25" hidden="false" customHeight="true" outlineLevel="0" collapsed="false">
      <c r="C40" s="3" t="s">
        <v>18</v>
      </c>
    </row>
    <row r="41" customFormat="false" ht="14.25" hidden="false" customHeight="true" outlineLevel="0" collapsed="false">
      <c r="C41" s="1" t="s">
        <v>19</v>
      </c>
    </row>
    <row r="42" customFormat="false" ht="14.25" hidden="false" customHeight="true" outlineLevel="0" collapsed="false">
      <c r="C42" s="1" t="s">
        <v>20</v>
      </c>
    </row>
    <row r="43" customFormat="false" ht="14.25" hidden="false" customHeight="true" outlineLevel="0" collapsed="false">
      <c r="C43" s="1" t="s">
        <v>21</v>
      </c>
    </row>
    <row r="44" customFormat="false" ht="14.25" hidden="false" customHeight="true" outlineLevel="0" collapsed="false">
      <c r="C44" s="1" t="s">
        <v>22</v>
      </c>
    </row>
    <row r="45" customFormat="false" ht="14.25" hidden="false" customHeight="true" outlineLevel="0" collapsed="false">
      <c r="C45" s="1" t="s">
        <v>23</v>
      </c>
    </row>
    <row r="46" customFormat="false" ht="14.25" hidden="false" customHeight="true" outlineLevel="0" collapsed="false">
      <c r="C46" s="1" t="s">
        <v>24</v>
      </c>
    </row>
    <row r="47" customFormat="false" ht="14.25" hidden="false" customHeight="true" outlineLevel="0" collapsed="false">
      <c r="C47" s="1" t="s">
        <v>25</v>
      </c>
    </row>
    <row r="48" customFormat="false" ht="14.25" hidden="false" customHeight="true" outlineLevel="0" collapsed="false">
      <c r="C48" s="1" t="s">
        <v>26</v>
      </c>
    </row>
    <row r="49" customFormat="false" ht="14.25" hidden="false" customHeight="true" outlineLevel="0" collapsed="false">
      <c r="C49" s="1" t="s">
        <v>27</v>
      </c>
    </row>
    <row r="50" customFormat="false" ht="14.25" hidden="false" customHeight="true" outlineLevel="0" collapsed="false">
      <c r="C50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1.76"/>
    <col collapsed="false" customWidth="true" hidden="false" outlineLevel="0" max="8" min="2" style="1" width="13"/>
  </cols>
  <sheetData>
    <row r="1" customFormat="false" ht="14.25" hidden="false" customHeight="true" outlineLevel="0" collapsed="false">
      <c r="B1" s="4" t="s">
        <v>29</v>
      </c>
      <c r="D1" s="5" t="s">
        <v>30</v>
      </c>
      <c r="E1" s="6"/>
      <c r="F1" s="6"/>
      <c r="G1" s="6"/>
      <c r="H1" s="6"/>
    </row>
    <row r="2" customFormat="false" ht="14.25" hidden="false" customHeight="true" outlineLevel="0" collapsed="false">
      <c r="B2" s="4" t="s">
        <v>31</v>
      </c>
      <c r="C2" s="4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</row>
    <row r="4" customFormat="false" ht="15" hidden="false" customHeight="true" outlineLevel="0" collapsed="false">
      <c r="A4" s="7" t="s">
        <v>38</v>
      </c>
      <c r="B4" s="8"/>
      <c r="C4" s="8"/>
      <c r="D4" s="8"/>
      <c r="E4" s="8"/>
      <c r="F4" s="8"/>
      <c r="G4" s="8"/>
      <c r="H4" s="8"/>
    </row>
    <row r="6" customFormat="false" ht="14.25" hidden="false" customHeight="true" outlineLevel="0" collapsed="false">
      <c r="A6" s="3" t="s">
        <v>39</v>
      </c>
    </row>
    <row r="7" customFormat="false" ht="14.25" hidden="false" customHeight="true" outlineLevel="0" collapsed="false">
      <c r="A7" s="1" t="s">
        <v>40</v>
      </c>
      <c r="C7" s="9" t="n">
        <f aca="false">'INCOME STATEMENT'!C7/'INCOME STATEMENT'!B7-1</f>
        <v>0.0417679426194062</v>
      </c>
      <c r="D7" s="10" t="n">
        <v>0.03</v>
      </c>
      <c r="E7" s="10" t="n">
        <v>0.03</v>
      </c>
      <c r="F7" s="10" t="n">
        <v>0.035</v>
      </c>
      <c r="G7" s="10" t="n">
        <v>0.035</v>
      </c>
      <c r="H7" s="10" t="n">
        <v>0.035</v>
      </c>
    </row>
    <row r="8" customFormat="false" ht="14.25" hidden="false" customHeight="true" outlineLevel="0" collapsed="false">
      <c r="A8" s="1" t="s">
        <v>41</v>
      </c>
      <c r="C8" s="9" t="n">
        <f aca="false">'INCOME STATEMENT'!C8/'INCOME STATEMENT'!B8-1</f>
        <v>0.124199573105656</v>
      </c>
      <c r="D8" s="10" t="n">
        <v>0.04</v>
      </c>
      <c r="E8" s="10" t="n">
        <v>0.04</v>
      </c>
      <c r="F8" s="10" t="n">
        <v>0.04</v>
      </c>
      <c r="G8" s="10" t="n">
        <v>0.04</v>
      </c>
      <c r="H8" s="10" t="n">
        <v>0.04</v>
      </c>
    </row>
    <row r="9" customFormat="false" ht="14.25" hidden="false" customHeight="true" outlineLevel="0" collapsed="false">
      <c r="A9" s="1" t="s">
        <v>42</v>
      </c>
      <c r="C9" s="9" t="n">
        <f aca="false">'INCOME STATEMENT'!C9/'INCOME STATEMENT'!B9-1</f>
        <v>0.049786468869409</v>
      </c>
      <c r="D9" s="10" t="n">
        <v>0.03</v>
      </c>
      <c r="E9" s="10" t="n">
        <v>0.03</v>
      </c>
      <c r="F9" s="10" t="n">
        <v>0.03</v>
      </c>
      <c r="G9" s="10" t="n">
        <v>0.03</v>
      </c>
      <c r="H9" s="10" t="n">
        <v>0.03</v>
      </c>
    </row>
    <row r="10" customFormat="false" ht="14.25" hidden="false" customHeight="true" outlineLevel="0" collapsed="false">
      <c r="A10" s="1" t="s">
        <v>43</v>
      </c>
      <c r="C10" s="9" t="n">
        <f aca="false">'INCOME STATEMENT'!C10/'INCOME STATEMENT'!B10-1</f>
        <v>-0.0356438319146062</v>
      </c>
      <c r="D10" s="10" t="n">
        <v>0.02</v>
      </c>
      <c r="E10" s="10" t="n">
        <v>0.025</v>
      </c>
      <c r="F10" s="10" t="n">
        <v>0.025</v>
      </c>
      <c r="G10" s="10" t="n">
        <v>0.03</v>
      </c>
      <c r="H10" s="10" t="n">
        <v>0.03</v>
      </c>
    </row>
    <row r="11" customFormat="false" ht="14.25" hidden="false" customHeight="true" outlineLevel="0" collapsed="false">
      <c r="A11" s="1" t="s">
        <v>44</v>
      </c>
      <c r="C11" s="9" t="n">
        <f aca="false">'INCOME STATEMENT'!C12/'INCOME STATEMENT'!B12-1</f>
        <v>0.135064313864135</v>
      </c>
      <c r="D11" s="10" t="n">
        <v>0.12</v>
      </c>
      <c r="E11" s="10" t="n">
        <v>0.11</v>
      </c>
      <c r="F11" s="10" t="n">
        <v>0.1</v>
      </c>
      <c r="G11" s="10" t="n">
        <v>0.09</v>
      </c>
      <c r="H11" s="10" t="n">
        <v>0.09</v>
      </c>
    </row>
    <row r="13" customFormat="false" ht="14.25" hidden="false" customHeight="true" outlineLevel="0" collapsed="false">
      <c r="A13" s="3" t="s">
        <v>45</v>
      </c>
    </row>
    <row r="14" customFormat="false" ht="14.25" hidden="false" customHeight="true" outlineLevel="0" collapsed="false">
      <c r="A14" s="1" t="s">
        <v>46</v>
      </c>
      <c r="B14" s="9" t="n">
        <f aca="false">'INCOME STATEMENT'!B16/'INCOME STATEMENT'!B11</f>
        <v>0.628193823635143</v>
      </c>
      <c r="C14" s="9" t="n">
        <f aca="false">'INCOME STATEMENT'!C16/'INCOME STATEMENT'!C11</f>
        <v>0.632293495503301</v>
      </c>
      <c r="D14" s="10" t="n">
        <v>0.63</v>
      </c>
      <c r="E14" s="10" t="n">
        <v>0.63</v>
      </c>
      <c r="F14" s="10" t="n">
        <v>0.625</v>
      </c>
      <c r="G14" s="10" t="n">
        <v>0.625</v>
      </c>
      <c r="H14" s="10" t="n">
        <v>0.62</v>
      </c>
    </row>
    <row r="15" customFormat="false" ht="14.25" hidden="false" customHeight="true" outlineLevel="0" collapsed="false">
      <c r="A15" s="1" t="s">
        <v>47</v>
      </c>
      <c r="B15" s="9" t="n">
        <f aca="false">'INCOME STATEMENT'!B17/'INCOME STATEMENT'!B12</f>
        <v>0.261196435441774</v>
      </c>
      <c r="C15" s="9" t="n">
        <f aca="false">'INCOME STATEMENT'!C17/'INCOME STATEMENT'!C12</f>
        <v>0.245918759962623</v>
      </c>
      <c r="D15" s="10" t="n">
        <v>0.24</v>
      </c>
      <c r="E15" s="10" t="n">
        <v>0.235</v>
      </c>
      <c r="F15" s="10" t="n">
        <v>0.23</v>
      </c>
      <c r="G15" s="10" t="n">
        <v>0.23</v>
      </c>
      <c r="H15" s="10" t="n">
        <v>0.225</v>
      </c>
    </row>
    <row r="16" customFormat="false" ht="14.25" hidden="false" customHeight="true" outlineLevel="0" collapsed="false">
      <c r="A16" s="1" t="s">
        <v>48</v>
      </c>
      <c r="B16" s="9" t="n">
        <f aca="false">'INCOME STATEMENT'!B22/'INCOME STATEMENT'!B13</f>
        <v>0.0802229979413607</v>
      </c>
      <c r="C16" s="9" t="n">
        <f aca="false">'INCOME STATEMENT'!C22/'INCOME STATEMENT'!C13</f>
        <v>0.0830207539870387</v>
      </c>
      <c r="D16" s="10" t="n">
        <v>0.083</v>
      </c>
      <c r="E16" s="10" t="n">
        <v>0.083</v>
      </c>
      <c r="F16" s="10" t="n">
        <v>0.082</v>
      </c>
      <c r="G16" s="10" t="n">
        <v>0.082</v>
      </c>
      <c r="H16" s="10" t="n">
        <v>0.081</v>
      </c>
    </row>
    <row r="17" customFormat="false" ht="14.25" hidden="false" customHeight="true" outlineLevel="0" collapsed="false">
      <c r="A17" s="1" t="s">
        <v>49</v>
      </c>
      <c r="B17" s="9" t="n">
        <f aca="false">'INCOME STATEMENT'!B23/'INCOME STATEMENT'!B13</f>
        <v>0.0667382715102229</v>
      </c>
      <c r="C17" s="9" t="n">
        <f aca="false">'INCOME STATEMENT'!C23/'INCOME STATEMENT'!C13</f>
        <v>0.066322889458647</v>
      </c>
      <c r="D17" s="10" t="n">
        <v>0.066</v>
      </c>
      <c r="E17" s="10" t="n">
        <v>0.066</v>
      </c>
      <c r="F17" s="10" t="n">
        <v>0.065</v>
      </c>
      <c r="G17" s="10" t="n">
        <v>0.065</v>
      </c>
      <c r="H17" s="10" t="n">
        <v>0.065</v>
      </c>
    </row>
    <row r="18" customFormat="false" ht="14.25" hidden="false" customHeight="true" outlineLevel="0" collapsed="false">
      <c r="A18" s="1" t="s">
        <v>50</v>
      </c>
      <c r="D18" s="10" t="n">
        <v>0.23</v>
      </c>
      <c r="E18" s="10" t="n">
        <v>0.23</v>
      </c>
      <c r="F18" s="10" t="n">
        <v>0.225</v>
      </c>
      <c r="G18" s="10" t="n">
        <v>0.225</v>
      </c>
      <c r="H18" s="10" t="n">
        <v>0.22</v>
      </c>
    </row>
    <row r="19" customFormat="false" ht="14.25" hidden="false" customHeight="true" outlineLevel="0" collapsed="false">
      <c r="A19" s="1" t="s">
        <v>51</v>
      </c>
      <c r="B19" s="9" t="n">
        <f aca="false">'INCOME STATEMENT'!B28/'INCOME STATEMENT'!B13</f>
        <v>0.000687917961307811</v>
      </c>
      <c r="C19" s="9" t="n">
        <f aca="false">'INCOME STATEMENT'!C28/'INCOME STATEMENT'!C13</f>
        <v>-0.000771336093483051</v>
      </c>
      <c r="D19" s="10" t="n">
        <v>-0.001</v>
      </c>
      <c r="E19" s="10" t="n">
        <v>-0.001</v>
      </c>
      <c r="F19" s="10" t="n">
        <v>0</v>
      </c>
      <c r="G19" s="10" t="n">
        <v>0</v>
      </c>
      <c r="H19" s="10" t="n">
        <v>0</v>
      </c>
    </row>
    <row r="20" customFormat="false" ht="14.25" hidden="false" customHeight="true" outlineLevel="0" collapsed="false">
      <c r="A20" s="1" t="s">
        <v>52</v>
      </c>
      <c r="B20" s="9" t="n">
        <f aca="false">'INCOME STATEMENT'!B31/'INCOME STATEMENT'!B29</f>
        <v>0.2409118516419</v>
      </c>
      <c r="C20" s="9" t="n">
        <f aca="false">'INCOME STATEMENT'!C31/'INCOME STATEMENT'!C29</f>
        <v>0.15610002335586</v>
      </c>
      <c r="D20" s="10" t="n">
        <v>0.16</v>
      </c>
      <c r="E20" s="10" t="n">
        <v>0.16</v>
      </c>
      <c r="F20" s="10" t="n">
        <v>0.165</v>
      </c>
      <c r="G20" s="10" t="n">
        <v>0.165</v>
      </c>
      <c r="H20" s="10" t="n">
        <v>0.165</v>
      </c>
    </row>
    <row r="22" customFormat="false" ht="14.25" hidden="false" customHeight="true" outlineLevel="0" collapsed="false">
      <c r="A22" s="3" t="s">
        <v>53</v>
      </c>
    </row>
    <row r="23" customFormat="false" ht="14.25" hidden="false" customHeight="true" outlineLevel="0" collapsed="false">
      <c r="A23" s="1" t="s">
        <v>54</v>
      </c>
      <c r="B23" s="11" t="n">
        <f aca="false">'BALANCE SHEET'!B9/'INCOME STATEMENT'!B13*365</f>
        <v>31.1855716240234</v>
      </c>
      <c r="C23" s="11" t="n">
        <f aca="false">'BALANCE SHEET'!C9/'INCOME STATEMENT'!C13*365</f>
        <v>34.8869908520981</v>
      </c>
      <c r="D23" s="12" t="n">
        <v>33</v>
      </c>
      <c r="E23" s="12" t="n">
        <v>33</v>
      </c>
      <c r="F23" s="12" t="n">
        <v>33</v>
      </c>
      <c r="G23" s="12" t="n">
        <v>33</v>
      </c>
      <c r="H23" s="12" t="n">
        <v>33</v>
      </c>
    </row>
    <row r="24" customFormat="false" ht="14.25" hidden="false" customHeight="true" outlineLevel="0" collapsed="false">
      <c r="A24" s="1" t="s">
        <v>55</v>
      </c>
      <c r="B24" s="11" t="n">
        <f aca="false">'BALANCE SHEET'!B10/'INCOME STATEMENT'!B13*365</f>
        <v>30.6469881212679</v>
      </c>
      <c r="C24" s="11" t="n">
        <f aca="false">'BALANCE SHEET'!C10/'INCOME STATEMENT'!C13*365</f>
        <v>29.1009969699227</v>
      </c>
      <c r="D24" s="12" t="n">
        <v>30</v>
      </c>
      <c r="E24" s="12" t="n">
        <v>30</v>
      </c>
      <c r="F24" s="12" t="n">
        <v>30</v>
      </c>
      <c r="G24" s="12" t="n">
        <v>30</v>
      </c>
      <c r="H24" s="12" t="n">
        <v>30</v>
      </c>
    </row>
    <row r="25" customFormat="false" ht="14.25" hidden="false" customHeight="true" outlineLevel="0" collapsed="false">
      <c r="A25" s="1" t="s">
        <v>56</v>
      </c>
      <c r="B25" s="11" t="n">
        <f aca="false">'BALANCE SHEET'!B11/'INCOME STATEMENT'!B18*365</f>
        <v>12.6425705484141</v>
      </c>
      <c r="C25" s="11" t="n">
        <f aca="false">'BALANCE SHEET'!C11/'INCOME STATEMENT'!C18*365</f>
        <v>9.44546524257784</v>
      </c>
      <c r="D25" s="12" t="n">
        <v>10</v>
      </c>
      <c r="E25" s="12" t="n">
        <v>10</v>
      </c>
      <c r="F25" s="12" t="n">
        <v>10</v>
      </c>
      <c r="G25" s="12" t="n">
        <v>10</v>
      </c>
      <c r="H25" s="12" t="n">
        <v>10</v>
      </c>
    </row>
    <row r="26" customFormat="false" ht="14.25" hidden="false" customHeight="true" outlineLevel="0" collapsed="false">
      <c r="A26" s="1" t="s">
        <v>57</v>
      </c>
      <c r="B26" s="11" t="n">
        <f aca="false">'BALANCE SHEET'!B22/'INCOME STATEMENT'!B18*365</f>
        <v>119.658477219137</v>
      </c>
      <c r="C26" s="11" t="n">
        <f aca="false">'BALANCE SHEET'!C22/'INCOME STATEMENT'!C18*365</f>
        <v>115.400524981897</v>
      </c>
      <c r="D26" s="12" t="n">
        <v>117</v>
      </c>
      <c r="E26" s="12" t="n">
        <v>117</v>
      </c>
      <c r="F26" s="12" t="n">
        <v>117</v>
      </c>
      <c r="G26" s="12" t="n">
        <v>117</v>
      </c>
      <c r="H26" s="12" t="n">
        <v>117</v>
      </c>
    </row>
    <row r="27" customFormat="false" ht="14.25" hidden="false" customHeight="true" outlineLevel="0" collapsed="false">
      <c r="A27" s="1" t="s">
        <v>58</v>
      </c>
      <c r="B27" s="11" t="n">
        <f aca="false">'BALANCE SHEET'!B23/'INCOME STATEMENT'!B12*365</f>
        <v>31.3082698166769</v>
      </c>
      <c r="C27" s="11" t="n">
        <f aca="false">'BALANCE SHEET'!C23/'INCOME STATEMENT'!C12*365</f>
        <v>30.2778999248795</v>
      </c>
      <c r="D27" s="12" t="n">
        <v>30</v>
      </c>
      <c r="E27" s="12" t="n">
        <v>30</v>
      </c>
      <c r="F27" s="12" t="n">
        <v>30</v>
      </c>
      <c r="G27" s="12" t="n">
        <v>30</v>
      </c>
      <c r="H27" s="12" t="n">
        <v>30</v>
      </c>
    </row>
    <row r="29" customFormat="false" ht="14.25" hidden="false" customHeight="true" outlineLevel="0" collapsed="false">
      <c r="A29" s="3" t="s">
        <v>59</v>
      </c>
    </row>
    <row r="30" customFormat="false" ht="14.25" hidden="false" customHeight="true" outlineLevel="0" collapsed="false">
      <c r="A30" s="1" t="s">
        <v>60</v>
      </c>
      <c r="B30" s="11" t="n">
        <f aca="false">'CASH FLOW STATEMENT'!B15</f>
        <v>-9447</v>
      </c>
      <c r="C30" s="11" t="n">
        <f aca="false">'CASH FLOW STATEMENT'!C15</f>
        <v>-12715</v>
      </c>
      <c r="D30" s="12" t="n">
        <v>-13500</v>
      </c>
      <c r="E30" s="12" t="n">
        <v>-14500</v>
      </c>
      <c r="F30" s="12" t="n">
        <v>-15500</v>
      </c>
      <c r="G30" s="12" t="n">
        <v>-16500</v>
      </c>
      <c r="H30" s="12" t="n">
        <v>-17500</v>
      </c>
    </row>
    <row r="31" customFormat="false" ht="14.25" hidden="false" customHeight="true" outlineLevel="0" collapsed="false">
      <c r="A31" s="1" t="s">
        <v>61</v>
      </c>
      <c r="B31" s="12" t="n">
        <v>0</v>
      </c>
      <c r="C31" s="12" t="n">
        <v>4481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</row>
    <row r="32" customFormat="false" ht="14.25" hidden="false" customHeight="true" outlineLevel="0" collapsed="false">
      <c r="A32" s="1" t="s">
        <v>62</v>
      </c>
      <c r="B32" s="12" t="n">
        <v>-5998</v>
      </c>
      <c r="C32" s="12" t="n">
        <v>-12964</v>
      </c>
      <c r="D32" s="12" t="n">
        <v>-9000</v>
      </c>
      <c r="E32" s="12" t="n">
        <v>-8000</v>
      </c>
      <c r="F32" s="12" t="n">
        <v>-7000</v>
      </c>
      <c r="G32" s="12" t="n">
        <v>-6000</v>
      </c>
      <c r="H32" s="12" t="n">
        <v>-5000</v>
      </c>
    </row>
    <row r="33" customFormat="false" ht="14.25" hidden="false" customHeight="true" outlineLevel="0" collapsed="false">
      <c r="A33" s="1" t="s">
        <v>63</v>
      </c>
      <c r="B33" s="12" t="n">
        <v>-15234</v>
      </c>
      <c r="C33" s="12" t="n">
        <v>-15421</v>
      </c>
      <c r="D33" s="12" t="n">
        <v>-16200</v>
      </c>
      <c r="E33" s="12" t="n">
        <v>-17000</v>
      </c>
      <c r="F33" s="12" t="n">
        <v>-17850</v>
      </c>
      <c r="G33" s="12" t="n">
        <v>-18750</v>
      </c>
      <c r="H33" s="12" t="n">
        <v>-19700</v>
      </c>
    </row>
    <row r="34" customFormat="false" ht="14.25" hidden="false" customHeight="true" outlineLevel="0" collapsed="false">
      <c r="A34" s="1" t="s">
        <v>64</v>
      </c>
      <c r="B34" s="12" t="n">
        <v>-94949</v>
      </c>
      <c r="C34" s="12" t="n">
        <v>-90711</v>
      </c>
      <c r="D34" s="12" t="n">
        <v>-95000</v>
      </c>
      <c r="E34" s="12" t="n">
        <v>-95000</v>
      </c>
      <c r="F34" s="12" t="n">
        <v>-95000</v>
      </c>
      <c r="G34" s="12" t="n">
        <v>-95000</v>
      </c>
      <c r="H34" s="12" t="n">
        <v>-95000</v>
      </c>
    </row>
    <row r="35" customFormat="false" ht="14.25" hidden="false" customHeight="true" outlineLevel="0" collapsed="false">
      <c r="A35" s="1" t="s">
        <v>65</v>
      </c>
      <c r="B35" s="12" t="n">
        <v>365</v>
      </c>
      <c r="C35" s="12" t="n">
        <v>365</v>
      </c>
      <c r="D35" s="12" t="n">
        <v>365</v>
      </c>
      <c r="E35" s="12" t="n">
        <v>365</v>
      </c>
      <c r="F35" s="12" t="n">
        <v>365</v>
      </c>
      <c r="G35" s="12" t="n">
        <v>365</v>
      </c>
      <c r="H35" s="12" t="n">
        <v>365</v>
      </c>
    </row>
    <row r="37" customFormat="false" ht="14.25" hidden="false" customHeight="true" outlineLevel="0" collapsed="false">
      <c r="A37" s="1" t="s">
        <v>66</v>
      </c>
      <c r="B37" s="9" t="n">
        <f aca="false">'CASH FLOW STATEMENT'!B9/'INCOME STATEMENT'!B13</f>
        <v>0.0298899075530323</v>
      </c>
      <c r="C37" s="9" t="n">
        <f aca="false">'CASH FLOW STATEMENT'!C9/'INCOME STATEMENT'!C13</f>
        <v>0.0309087108114408</v>
      </c>
      <c r="D37" s="10" t="n">
        <v>0.03</v>
      </c>
      <c r="E37" s="10" t="n">
        <v>0.03</v>
      </c>
      <c r="F37" s="10" t="n">
        <v>0.03</v>
      </c>
      <c r="G37" s="10" t="n">
        <v>0.03</v>
      </c>
      <c r="H37" s="10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3"/>
  </cols>
  <sheetData>
    <row r="1" customFormat="false" ht="14.25" hidden="false" customHeight="true" outlineLevel="0" collapsed="false">
      <c r="B1" s="4" t="s">
        <v>29</v>
      </c>
      <c r="D1" s="5" t="s">
        <v>30</v>
      </c>
      <c r="E1" s="6"/>
      <c r="F1" s="6"/>
      <c r="G1" s="6"/>
      <c r="H1" s="6"/>
    </row>
    <row r="2" customFormat="false" ht="14.25" hidden="false" customHeight="true" outlineLevel="0" collapsed="false">
      <c r="B2" s="4" t="s">
        <v>31</v>
      </c>
      <c r="C2" s="4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</row>
    <row r="4" customFormat="false" ht="15" hidden="false" customHeight="true" outlineLevel="0" collapsed="false">
      <c r="A4" s="7" t="s">
        <v>67</v>
      </c>
      <c r="B4" s="8"/>
      <c r="C4" s="8"/>
      <c r="D4" s="8"/>
      <c r="E4" s="8"/>
      <c r="F4" s="8"/>
      <c r="G4" s="8"/>
      <c r="H4" s="8"/>
    </row>
    <row r="6" customFormat="false" ht="14.25" hidden="false" customHeight="true" outlineLevel="0" collapsed="false">
      <c r="A6" s="3" t="s">
        <v>68</v>
      </c>
    </row>
    <row r="7" customFormat="false" ht="14.25" hidden="false" customHeight="true" outlineLevel="0" collapsed="false">
      <c r="A7" s="1" t="s">
        <v>69</v>
      </c>
      <c r="B7" s="13" t="n">
        <v>201183</v>
      </c>
      <c r="C7" s="13" t="n">
        <v>209586</v>
      </c>
      <c r="D7" s="14" t="n">
        <f aca="false">C7*(1+ASSUMPTIONS!D7)</f>
        <v>215873.58</v>
      </c>
      <c r="E7" s="14" t="n">
        <f aca="false">D7*(1+ASSUMPTIONS!E7)</f>
        <v>222349.7874</v>
      </c>
      <c r="F7" s="14" t="n">
        <f aca="false">E7*(1+ASSUMPTIONS!F7)</f>
        <v>230132.029959</v>
      </c>
      <c r="G7" s="14" t="n">
        <f aca="false">F7*(1+ASSUMPTIONS!G7)</f>
        <v>238186.651007565</v>
      </c>
      <c r="H7" s="14" t="n">
        <f aca="false">G7*(1+ASSUMPTIONS!H7)</f>
        <v>246523.18379283</v>
      </c>
    </row>
    <row r="8" customFormat="false" ht="14.25" hidden="false" customHeight="true" outlineLevel="0" collapsed="false">
      <c r="A8" s="1" t="s">
        <v>70</v>
      </c>
      <c r="B8" s="13" t="n">
        <v>29984</v>
      </c>
      <c r="C8" s="13" t="n">
        <v>33708</v>
      </c>
      <c r="D8" s="14" t="n">
        <f aca="false">C8*(1+ASSUMPTIONS!D8)</f>
        <v>35056.32</v>
      </c>
      <c r="E8" s="14" t="n">
        <f aca="false">D8*(1+ASSUMPTIONS!E8)</f>
        <v>36458.5728</v>
      </c>
      <c r="F8" s="14" t="n">
        <f aca="false">E8*(1+ASSUMPTIONS!F8)</f>
        <v>37916.915712</v>
      </c>
      <c r="G8" s="14" t="n">
        <f aca="false">F8*(1+ASSUMPTIONS!G8)</f>
        <v>39433.59234048</v>
      </c>
      <c r="H8" s="14" t="n">
        <f aca="false">G8*(1+ASSUMPTIONS!H8)</f>
        <v>41010.9360340992</v>
      </c>
    </row>
    <row r="9" customFormat="false" ht="14.25" hidden="false" customHeight="true" outlineLevel="0" collapsed="false">
      <c r="A9" s="1" t="s">
        <v>71</v>
      </c>
      <c r="B9" s="13" t="n">
        <v>26694</v>
      </c>
      <c r="C9" s="13" t="n">
        <v>28023</v>
      </c>
      <c r="D9" s="14" t="n">
        <f aca="false">C9*(1+ASSUMPTIONS!D9)</f>
        <v>28863.69</v>
      </c>
      <c r="E9" s="14" t="n">
        <f aca="false">D9*(1+ASSUMPTIONS!E9)</f>
        <v>29729.6007</v>
      </c>
      <c r="F9" s="14" t="n">
        <f aca="false">E9*(1+ASSUMPTIONS!F9)</f>
        <v>30621.488721</v>
      </c>
      <c r="G9" s="14" t="n">
        <f aca="false">F9*(1+ASSUMPTIONS!G9)</f>
        <v>31540.13338263</v>
      </c>
      <c r="H9" s="14" t="n">
        <f aca="false">G9*(1+ASSUMPTIONS!H9)</f>
        <v>32486.3373841089</v>
      </c>
    </row>
    <row r="10" customFormat="false" ht="14.25" hidden="false" customHeight="true" outlineLevel="0" collapsed="false">
      <c r="A10" s="1" t="s">
        <v>72</v>
      </c>
      <c r="B10" s="13" t="n">
        <v>37005</v>
      </c>
      <c r="C10" s="13" t="n">
        <v>35686</v>
      </c>
      <c r="D10" s="14" t="n">
        <f aca="false">C10*(1+ASSUMPTIONS!D10)</f>
        <v>36399.72</v>
      </c>
      <c r="E10" s="14" t="n">
        <f aca="false">D10*(1+ASSUMPTIONS!E10)</f>
        <v>37309.713</v>
      </c>
      <c r="F10" s="14" t="n">
        <f aca="false">E10*(1+ASSUMPTIONS!F10)</f>
        <v>38242.455825</v>
      </c>
      <c r="G10" s="14" t="n">
        <f aca="false">F10*(1+ASSUMPTIONS!G10)</f>
        <v>39389.72949975</v>
      </c>
      <c r="H10" s="14" t="n">
        <f aca="false">G10*(1+ASSUMPTIONS!H10)</f>
        <v>40571.4213847425</v>
      </c>
    </row>
    <row r="11" customFormat="false" ht="14.25" hidden="false" customHeight="true" outlineLevel="0" collapsed="false">
      <c r="A11" s="4" t="s">
        <v>73</v>
      </c>
      <c r="B11" s="15" t="n">
        <f aca="false">SUM(B7:B10)</f>
        <v>294866</v>
      </c>
      <c r="C11" s="15" t="n">
        <f aca="false">SUM(C7:C10)</f>
        <v>307003</v>
      </c>
      <c r="D11" s="15" t="n">
        <f aca="false">SUM(D7:D10)</f>
        <v>316193.31</v>
      </c>
      <c r="E11" s="15" t="n">
        <f aca="false">SUM(E7:E10)</f>
        <v>325847.6739</v>
      </c>
      <c r="F11" s="15" t="n">
        <f aca="false">SUM(F7:F10)</f>
        <v>336912.890217</v>
      </c>
      <c r="G11" s="15" t="n">
        <f aca="false">SUM(G7:G10)</f>
        <v>348550.106230425</v>
      </c>
      <c r="H11" s="15" t="n">
        <f aca="false">SUM(H7:H10)</f>
        <v>360591.87859578</v>
      </c>
    </row>
    <row r="12" customFormat="false" ht="14.25" hidden="false" customHeight="true" outlineLevel="0" collapsed="false">
      <c r="A12" s="1" t="s">
        <v>74</v>
      </c>
      <c r="B12" s="13" t="n">
        <v>96169</v>
      </c>
      <c r="C12" s="13" t="n">
        <v>109158</v>
      </c>
      <c r="D12" s="14" t="n">
        <f aca="false">C12*(1+ASSUMPTIONS!D11)</f>
        <v>122256.96</v>
      </c>
      <c r="E12" s="14" t="n">
        <f aca="false">D12*(1+ASSUMPTIONS!E11)</f>
        <v>135705.2256</v>
      </c>
      <c r="F12" s="14" t="n">
        <f aca="false">E12*(1+ASSUMPTIONS!F11)</f>
        <v>149275.74816</v>
      </c>
      <c r="G12" s="14" t="n">
        <f aca="false">F12*(1+ASSUMPTIONS!G11)</f>
        <v>162710.5654944</v>
      </c>
      <c r="H12" s="14" t="n">
        <f aca="false">G12*(1+ASSUMPTIONS!H11)</f>
        <v>177354.516388896</v>
      </c>
    </row>
    <row r="13" customFormat="false" ht="14.25" hidden="false" customHeight="true" outlineLevel="0" collapsed="false">
      <c r="A13" s="4" t="s">
        <v>75</v>
      </c>
      <c r="B13" s="15" t="n">
        <f aca="false">B11+B12</f>
        <v>391035</v>
      </c>
      <c r="C13" s="15" t="n">
        <f aca="false">C11+C12</f>
        <v>416161</v>
      </c>
      <c r="D13" s="15" t="n">
        <f aca="false">D11+D12</f>
        <v>438450.27</v>
      </c>
      <c r="E13" s="15" t="n">
        <f aca="false">E11+E12</f>
        <v>461552.8995</v>
      </c>
      <c r="F13" s="15" t="n">
        <f aca="false">F11+F12</f>
        <v>486188.638377</v>
      </c>
      <c r="G13" s="15" t="n">
        <f aca="false">G11+G12</f>
        <v>511260.671724825</v>
      </c>
      <c r="H13" s="15" t="n">
        <f aca="false">H11+H12</f>
        <v>537946.394984676</v>
      </c>
    </row>
    <row r="15" customFormat="false" ht="14.25" hidden="false" customHeight="true" outlineLevel="0" collapsed="false">
      <c r="A15" s="3" t="s">
        <v>76</v>
      </c>
    </row>
    <row r="16" customFormat="false" ht="14.25" hidden="false" customHeight="true" outlineLevel="0" collapsed="false">
      <c r="A16" s="1" t="s">
        <v>77</v>
      </c>
      <c r="B16" s="13" t="n">
        <v>185233</v>
      </c>
      <c r="C16" s="13" t="n">
        <v>194116</v>
      </c>
      <c r="D16" s="14" t="n">
        <f aca="false">D11*ASSUMPTIONS!D14</f>
        <v>199201.7853</v>
      </c>
      <c r="E16" s="14" t="n">
        <f aca="false">E11*ASSUMPTIONS!E14</f>
        <v>205284.034557</v>
      </c>
      <c r="F16" s="14" t="n">
        <f aca="false">F11*ASSUMPTIONS!F14</f>
        <v>210570.556385625</v>
      </c>
      <c r="G16" s="14" t="n">
        <f aca="false">G11*ASSUMPTIONS!G14</f>
        <v>217843.816394016</v>
      </c>
      <c r="H16" s="14" t="n">
        <f aca="false">H11*ASSUMPTIONS!H14</f>
        <v>223566.964729384</v>
      </c>
    </row>
    <row r="17" customFormat="false" ht="14.25" hidden="false" customHeight="true" outlineLevel="0" collapsed="false">
      <c r="A17" s="1" t="s">
        <v>78</v>
      </c>
      <c r="B17" s="13" t="n">
        <v>25119</v>
      </c>
      <c r="C17" s="13" t="n">
        <v>26844</v>
      </c>
      <c r="D17" s="14" t="n">
        <f aca="false">D12*ASSUMPTIONS!D15</f>
        <v>29341.6704</v>
      </c>
      <c r="E17" s="14" t="n">
        <f aca="false">E12*ASSUMPTIONS!E15</f>
        <v>31890.728016</v>
      </c>
      <c r="F17" s="14" t="n">
        <f aca="false">F12*ASSUMPTIONS!F15</f>
        <v>34333.4220768</v>
      </c>
      <c r="G17" s="14" t="n">
        <f aca="false">G12*ASSUMPTIONS!G15</f>
        <v>37423.430063712</v>
      </c>
      <c r="H17" s="14" t="n">
        <f aca="false">H12*ASSUMPTIONS!H15</f>
        <v>39904.7661875016</v>
      </c>
    </row>
    <row r="18" customFormat="false" ht="14.25" hidden="false" customHeight="true" outlineLevel="0" collapsed="false">
      <c r="A18" s="4" t="s">
        <v>79</v>
      </c>
      <c r="B18" s="15" t="n">
        <f aca="false">SUM(B16:B17)</f>
        <v>210352</v>
      </c>
      <c r="C18" s="15" t="n">
        <f aca="false">SUM(C16:C17)</f>
        <v>220960</v>
      </c>
      <c r="D18" s="15" t="n">
        <f aca="false">SUM(D16:D17)</f>
        <v>228543.4557</v>
      </c>
      <c r="E18" s="15" t="n">
        <f aca="false">SUM(E16:E17)</f>
        <v>237174.762573</v>
      </c>
      <c r="F18" s="15" t="n">
        <f aca="false">SUM(F16:F17)</f>
        <v>244903.978462425</v>
      </c>
      <c r="G18" s="15" t="n">
        <f aca="false">SUM(G16:G17)</f>
        <v>255267.246457728</v>
      </c>
      <c r="H18" s="15" t="n">
        <f aca="false">SUM(H16:H17)</f>
        <v>263471.730916885</v>
      </c>
    </row>
    <row r="19" customFormat="false" ht="14.25" hidden="false" customHeight="true" outlineLevel="0" collapsed="false">
      <c r="A19" s="4" t="s">
        <v>80</v>
      </c>
      <c r="B19" s="15" t="n">
        <f aca="false">B13-B18</f>
        <v>180683</v>
      </c>
      <c r="C19" s="15" t="n">
        <f aca="false">C13-C18</f>
        <v>195201</v>
      </c>
      <c r="D19" s="15" t="n">
        <f aca="false">D13-D18</f>
        <v>209906.8143</v>
      </c>
      <c r="E19" s="15" t="n">
        <f aca="false">E13-E18</f>
        <v>224378.136927</v>
      </c>
      <c r="F19" s="15" t="n">
        <f aca="false">F13-F18</f>
        <v>241284.659914575</v>
      </c>
      <c r="G19" s="15" t="n">
        <f aca="false">G13-G18</f>
        <v>255993.425267097</v>
      </c>
      <c r="H19" s="15" t="n">
        <f aca="false">H13-H18</f>
        <v>274474.664067791</v>
      </c>
    </row>
    <row r="21" customFormat="false" ht="14.25" hidden="false" customHeight="true" outlineLevel="0" collapsed="false">
      <c r="A21" s="3" t="s">
        <v>81</v>
      </c>
    </row>
    <row r="22" customFormat="false" ht="14.25" hidden="false" customHeight="true" outlineLevel="0" collapsed="false">
      <c r="A22" s="1" t="s">
        <v>82</v>
      </c>
      <c r="B22" s="13" t="n">
        <v>31370</v>
      </c>
      <c r="C22" s="13" t="n">
        <v>34550</v>
      </c>
      <c r="D22" s="14" t="n">
        <f aca="false">D13*ASSUMPTIONS!D16</f>
        <v>36391.37241</v>
      </c>
      <c r="E22" s="14" t="n">
        <f aca="false">E13*ASSUMPTIONS!E16</f>
        <v>38308.8906585</v>
      </c>
      <c r="F22" s="14" t="n">
        <f aca="false">F13*ASSUMPTIONS!F16</f>
        <v>39867.468346914</v>
      </c>
      <c r="G22" s="14" t="n">
        <f aca="false">G13*ASSUMPTIONS!G16</f>
        <v>41923.3750814357</v>
      </c>
      <c r="H22" s="14" t="n">
        <f aca="false">H13*ASSUMPTIONS!H16</f>
        <v>43573.6579937588</v>
      </c>
    </row>
    <row r="23" customFormat="false" ht="14.25" hidden="false" customHeight="true" outlineLevel="0" collapsed="false">
      <c r="A23" s="1" t="s">
        <v>83</v>
      </c>
      <c r="B23" s="13" t="n">
        <v>26097</v>
      </c>
      <c r="C23" s="13" t="n">
        <v>27601</v>
      </c>
      <c r="D23" s="14" t="n">
        <f aca="false">D13*ASSUMPTIONS!D17</f>
        <v>28937.71782</v>
      </c>
      <c r="E23" s="14" t="n">
        <f aca="false">E13*ASSUMPTIONS!E17</f>
        <v>30462.491367</v>
      </c>
      <c r="F23" s="14" t="n">
        <f aca="false">F13*ASSUMPTIONS!F17</f>
        <v>31602.261494505</v>
      </c>
      <c r="G23" s="14" t="n">
        <f aca="false">G13*ASSUMPTIONS!G17</f>
        <v>33231.9436621136</v>
      </c>
      <c r="H23" s="14" t="n">
        <f aca="false">H13*ASSUMPTIONS!H17</f>
        <v>34966.515674004</v>
      </c>
    </row>
    <row r="24" customFormat="false" ht="14.25" hidden="false" customHeight="true" outlineLevel="0" collapsed="false">
      <c r="A24" s="4" t="s">
        <v>84</v>
      </c>
      <c r="B24" s="15" t="n">
        <f aca="false">SUM(B22:B23)</f>
        <v>57467</v>
      </c>
      <c r="C24" s="15" t="n">
        <f aca="false">SUM(C22:C23)</f>
        <v>62151</v>
      </c>
      <c r="D24" s="15" t="n">
        <f aca="false">SUM(D22:D23)</f>
        <v>65329.09023</v>
      </c>
      <c r="E24" s="15" t="n">
        <f aca="false">SUM(E22:E23)</f>
        <v>68771.3820255</v>
      </c>
      <c r="F24" s="15" t="n">
        <f aca="false">SUM(F22:F23)</f>
        <v>71469.729841419</v>
      </c>
      <c r="G24" s="15" t="n">
        <f aca="false">SUM(G22:G23)</f>
        <v>75155.3187435493</v>
      </c>
      <c r="H24" s="15" t="n">
        <f aca="false">SUM(H22:H23)</f>
        <v>78540.1736677628</v>
      </c>
    </row>
    <row r="25" customFormat="false" ht="14.25" hidden="false" customHeight="true" outlineLevel="0" collapsed="false">
      <c r="A25" s="4" t="s">
        <v>85</v>
      </c>
      <c r="B25" s="15" t="n">
        <f aca="false">B19-B24</f>
        <v>123216</v>
      </c>
      <c r="C25" s="15" t="n">
        <f aca="false">C19-C24</f>
        <v>133050</v>
      </c>
      <c r="D25" s="15" t="n">
        <f aca="false">D19-D24</f>
        <v>144577.72407</v>
      </c>
      <c r="E25" s="15" t="n">
        <f aca="false">E19-E24</f>
        <v>155606.7549015</v>
      </c>
      <c r="F25" s="15" t="n">
        <f aca="false">F19-F24</f>
        <v>169814.930073156</v>
      </c>
      <c r="G25" s="15" t="n">
        <f aca="false">G19-G24</f>
        <v>180838.106523548</v>
      </c>
      <c r="H25" s="15" t="n">
        <f aca="false">H19-H24</f>
        <v>195934.490400028</v>
      </c>
    </row>
    <row r="28" customFormat="false" ht="14.25" hidden="false" customHeight="true" outlineLevel="0" collapsed="false">
      <c r="A28" s="1" t="s">
        <v>86</v>
      </c>
      <c r="B28" s="13" t="n">
        <v>269</v>
      </c>
      <c r="C28" s="13" t="n">
        <v>-321</v>
      </c>
      <c r="D28" s="14" t="n">
        <f aca="false">D13*ASSUMPTIONS!D19</f>
        <v>-438.45027</v>
      </c>
      <c r="E28" s="14" t="n">
        <f aca="false">E13*ASSUMPTIONS!E19</f>
        <v>-461.5528995</v>
      </c>
      <c r="F28" s="14" t="n">
        <f aca="false">F13*ASSUMPTIONS!F19</f>
        <v>0</v>
      </c>
      <c r="G28" s="14" t="n">
        <f aca="false">G13*ASSUMPTIONS!G19</f>
        <v>0</v>
      </c>
      <c r="H28" s="14" t="n">
        <f aca="false">H13*ASSUMPTIONS!H19</f>
        <v>0</v>
      </c>
    </row>
    <row r="29" customFormat="false" ht="14.25" hidden="false" customHeight="true" outlineLevel="0" collapsed="false">
      <c r="A29" s="4" t="s">
        <v>87</v>
      </c>
      <c r="B29" s="15" t="n">
        <f aca="false">B25+B28</f>
        <v>123485</v>
      </c>
      <c r="C29" s="15" t="n">
        <f aca="false">C25+C28</f>
        <v>132729</v>
      </c>
      <c r="D29" s="15" t="n">
        <f aca="false">D25+D28</f>
        <v>144139.2738</v>
      </c>
      <c r="E29" s="15" t="n">
        <f aca="false">E25+E28</f>
        <v>155145.202002</v>
      </c>
      <c r="F29" s="15" t="n">
        <f aca="false">F25+F28</f>
        <v>169814.930073156</v>
      </c>
      <c r="G29" s="15" t="n">
        <f aca="false">G25+G28</f>
        <v>180838.106523548</v>
      </c>
      <c r="H29" s="15" t="n">
        <f aca="false">H25+H28</f>
        <v>195934.490400028</v>
      </c>
    </row>
    <row r="31" customFormat="false" ht="14.25" hidden="false" customHeight="true" outlineLevel="0" collapsed="false">
      <c r="A31" s="1" t="s">
        <v>88</v>
      </c>
      <c r="B31" s="13" t="n">
        <v>29749</v>
      </c>
      <c r="C31" s="13" t="n">
        <v>20719</v>
      </c>
      <c r="D31" s="14" t="n">
        <f aca="false">D29*ASSUMPTIONS!D20</f>
        <v>23062.283808</v>
      </c>
      <c r="E31" s="14" t="n">
        <f aca="false">E29*ASSUMPTIONS!E20</f>
        <v>24823.23232032</v>
      </c>
      <c r="F31" s="14" t="n">
        <f aca="false">F29*ASSUMPTIONS!F20</f>
        <v>28019.4634620707</v>
      </c>
      <c r="G31" s="14" t="n">
        <f aca="false">G29*ASSUMPTIONS!G20</f>
        <v>29838.2875763854</v>
      </c>
      <c r="H31" s="14" t="n">
        <f aca="false">H29*ASSUMPTIONS!H20</f>
        <v>32329.1909160047</v>
      </c>
    </row>
    <row r="32" customFormat="false" ht="14.25" hidden="false" customHeight="true" outlineLevel="0" collapsed="false">
      <c r="A32" s="4" t="s">
        <v>89</v>
      </c>
      <c r="B32" s="15" t="n">
        <f aca="false">B29-B31</f>
        <v>93736</v>
      </c>
      <c r="C32" s="15" t="n">
        <f aca="false">C29-C31</f>
        <v>112010</v>
      </c>
      <c r="D32" s="15" t="n">
        <f aca="false">D29-D31</f>
        <v>121076.989992</v>
      </c>
      <c r="E32" s="15" t="n">
        <f aca="false">E29-E31</f>
        <v>130321.96968168</v>
      </c>
      <c r="F32" s="15" t="n">
        <f aca="false">F29-F31</f>
        <v>141795.466611085</v>
      </c>
      <c r="G32" s="15" t="n">
        <f aca="false">G29-G31</f>
        <v>150999.818947163</v>
      </c>
      <c r="H32" s="15" t="n">
        <f aca="false">H29-H31</f>
        <v>163605.299484024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36" activeCellId="0" sqref="C3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3"/>
  </cols>
  <sheetData>
    <row r="1" customFormat="false" ht="14.25" hidden="false" customHeight="true" outlineLevel="0" collapsed="false">
      <c r="B1" s="4" t="s">
        <v>29</v>
      </c>
      <c r="D1" s="5" t="s">
        <v>30</v>
      </c>
      <c r="E1" s="6"/>
      <c r="F1" s="6"/>
      <c r="G1" s="6"/>
      <c r="H1" s="6"/>
    </row>
    <row r="2" customFormat="false" ht="14.25" hidden="false" customHeight="true" outlineLevel="0" collapsed="false">
      <c r="B2" s="4" t="s">
        <v>31</v>
      </c>
      <c r="C2" s="4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</row>
    <row r="4" customFormat="false" ht="15" hidden="false" customHeight="true" outlineLevel="0" collapsed="false">
      <c r="A4" s="7" t="s">
        <v>90</v>
      </c>
      <c r="B4" s="8"/>
      <c r="C4" s="8"/>
      <c r="D4" s="8"/>
      <c r="E4" s="8"/>
      <c r="F4" s="8"/>
      <c r="G4" s="8"/>
      <c r="H4" s="8"/>
    </row>
    <row r="6" customFormat="false" ht="14.25" hidden="false" customHeight="true" outlineLevel="0" collapsed="false">
      <c r="A6" s="3" t="s">
        <v>91</v>
      </c>
    </row>
    <row r="7" customFormat="false" ht="14.25" hidden="false" customHeight="true" outlineLevel="0" collapsed="false">
      <c r="A7" s="1" t="s">
        <v>92</v>
      </c>
      <c r="B7" s="13" t="n">
        <v>29943</v>
      </c>
      <c r="C7" s="13" t="n">
        <v>35934</v>
      </c>
      <c r="D7" s="14" t="n">
        <f aca="false">'CASH FLOW STATEMENT'!D26</f>
        <v>49054.7880917261</v>
      </c>
      <c r="E7" s="14" t="n">
        <f aca="false">'CASH FLOW STATEMENT'!E26</f>
        <v>70301.9794321348</v>
      </c>
      <c r="F7" s="14" t="n">
        <f aca="false">'CASH FLOW STATEMENT'!F26</f>
        <v>102711.474702044</v>
      </c>
      <c r="G7" s="14" t="n">
        <f aca="false">'CASH FLOW STATEMENT'!G26</f>
        <v>145594.593095672</v>
      </c>
      <c r="H7" s="14" t="n">
        <f aca="false">'CASH FLOW STATEMENT'!H26</f>
        <v>200607.542216272</v>
      </c>
    </row>
    <row r="8" customFormat="false" ht="14.25" hidden="false" customHeight="true" outlineLevel="0" collapsed="false">
      <c r="A8" s="1" t="s">
        <v>93</v>
      </c>
      <c r="B8" s="13" t="n">
        <v>35228</v>
      </c>
      <c r="C8" s="13" t="n">
        <v>18763</v>
      </c>
      <c r="D8" s="13" t="n">
        <f aca="false">C8</f>
        <v>18763</v>
      </c>
      <c r="E8" s="13" t="n">
        <f aca="false">D8</f>
        <v>18763</v>
      </c>
      <c r="F8" s="13" t="n">
        <f aca="false">E8</f>
        <v>18763</v>
      </c>
      <c r="G8" s="13" t="n">
        <f aca="false">F8</f>
        <v>18763</v>
      </c>
      <c r="H8" s="13" t="n">
        <f aca="false">G8</f>
        <v>18763</v>
      </c>
    </row>
    <row r="9" customFormat="false" ht="14.25" hidden="false" customHeight="true" outlineLevel="0" collapsed="false">
      <c r="A9" s="1" t="s">
        <v>94</v>
      </c>
      <c r="B9" s="13" t="n">
        <v>33410</v>
      </c>
      <c r="C9" s="13" t="n">
        <v>39777</v>
      </c>
      <c r="D9" s="14" t="n">
        <f aca="false">'INCOME STATEMENT'!D13*ASSUMPTIONS!D23/ASSUMPTIONS!D35</f>
        <v>39640.7093424658</v>
      </c>
      <c r="E9" s="14" t="n">
        <f aca="false">'INCOME STATEMENT'!E13*ASSUMPTIONS!E23/ASSUMPTIONS!E35</f>
        <v>41729.4402287671</v>
      </c>
      <c r="F9" s="14" t="n">
        <f aca="false">'INCOME STATEMENT'!F13*ASSUMPTIONS!F23/ASSUMPTIONS!F35</f>
        <v>43956.781003948</v>
      </c>
      <c r="G9" s="14" t="n">
        <f aca="false">'INCOME STATEMENT'!G13*ASSUMPTIONS!G23/ASSUMPTIONS!G35</f>
        <v>46223.5675806006</v>
      </c>
      <c r="H9" s="14" t="n">
        <f aca="false">'INCOME STATEMENT'!H13*ASSUMPTIONS!H23/ASSUMPTIONS!H35</f>
        <v>48636.2494095735</v>
      </c>
    </row>
    <row r="10" customFormat="false" ht="14.25" hidden="false" customHeight="true" outlineLevel="0" collapsed="false">
      <c r="A10" s="1" t="s">
        <v>95</v>
      </c>
      <c r="B10" s="13" t="n">
        <v>32833</v>
      </c>
      <c r="C10" s="13" t="n">
        <v>33180</v>
      </c>
      <c r="D10" s="14" t="n">
        <f aca="false">'INCOME STATEMENT'!D13*ASSUMPTIONS!D24/ASSUMPTIONS!D35</f>
        <v>36037.0084931507</v>
      </c>
      <c r="E10" s="14" t="n">
        <f aca="false">'INCOME STATEMENT'!E13*ASSUMPTIONS!E24/ASSUMPTIONS!E35</f>
        <v>37935.8547534247</v>
      </c>
      <c r="F10" s="14" t="n">
        <f aca="false">'INCOME STATEMENT'!F13*ASSUMPTIONS!F24/ASSUMPTIONS!F35</f>
        <v>39960.7100035891</v>
      </c>
      <c r="G10" s="14" t="n">
        <f aca="false">'INCOME STATEMENT'!G13*ASSUMPTIONS!G24/ASSUMPTIONS!G35</f>
        <v>42021.4250732733</v>
      </c>
      <c r="H10" s="14" t="n">
        <f aca="false">'INCOME STATEMENT'!H13*ASSUMPTIONS!H24/ASSUMPTIONS!H35</f>
        <v>44214.7721905214</v>
      </c>
    </row>
    <row r="11" customFormat="false" ht="14.25" hidden="false" customHeight="true" outlineLevel="0" collapsed="false">
      <c r="A11" s="1" t="s">
        <v>96</v>
      </c>
      <c r="B11" s="13" t="n">
        <v>7286</v>
      </c>
      <c r="C11" s="13" t="n">
        <v>5718</v>
      </c>
      <c r="D11" s="14" t="n">
        <f aca="false">'INCOME STATEMENT'!D18*ASSUMPTIONS!D25/ASSUMPTIONS!D35</f>
        <v>6261.46453972603</v>
      </c>
      <c r="E11" s="14" t="n">
        <f aca="false">'INCOME STATEMENT'!E18*ASSUMPTIONS!E25/ASSUMPTIONS!E35</f>
        <v>6497.93870063014</v>
      </c>
      <c r="F11" s="14" t="n">
        <f aca="false">'INCOME STATEMENT'!F18*ASSUMPTIONS!F25/ASSUMPTIONS!F35</f>
        <v>6709.69804006644</v>
      </c>
      <c r="G11" s="14" t="n">
        <f aca="false">'INCOME STATEMENT'!G18*ASSUMPTIONS!G25/ASSUMPTIONS!G35</f>
        <v>6993.62319062268</v>
      </c>
      <c r="H11" s="14" t="n">
        <f aca="false">'INCOME STATEMENT'!H18*ASSUMPTIONS!H25/ASSUMPTIONS!H35</f>
        <v>7218.40358676398</v>
      </c>
    </row>
    <row r="12" customFormat="false" ht="14.25" hidden="false" customHeight="true" outlineLevel="0" collapsed="false">
      <c r="A12" s="1" t="s">
        <v>97</v>
      </c>
      <c r="B12" s="13" t="n">
        <v>14287</v>
      </c>
      <c r="C12" s="13" t="n">
        <v>14585</v>
      </c>
      <c r="D12" s="13" t="n">
        <f aca="false">C12</f>
        <v>14585</v>
      </c>
      <c r="E12" s="13" t="n">
        <f aca="false">D12</f>
        <v>14585</v>
      </c>
      <c r="F12" s="13" t="n">
        <f aca="false">E12</f>
        <v>14585</v>
      </c>
      <c r="G12" s="13" t="n">
        <f aca="false">F12</f>
        <v>14585</v>
      </c>
      <c r="H12" s="13" t="n">
        <f aca="false">G12</f>
        <v>14585</v>
      </c>
    </row>
    <row r="13" customFormat="false" ht="14.25" hidden="false" customHeight="true" outlineLevel="0" collapsed="false">
      <c r="A13" s="4" t="s">
        <v>98</v>
      </c>
      <c r="B13" s="15" t="n">
        <f aca="false">SUM(B7:B12)</f>
        <v>152987</v>
      </c>
      <c r="C13" s="15" t="n">
        <f aca="false">SUM(C7:C12)</f>
        <v>147957</v>
      </c>
      <c r="D13" s="15" t="n">
        <f aca="false">SUM(D7:D12)</f>
        <v>164341.970467069</v>
      </c>
      <c r="E13" s="15" t="n">
        <f aca="false">SUM(E7:E12)</f>
        <v>189813.213114957</v>
      </c>
      <c r="F13" s="15" t="n">
        <f aca="false">SUM(F7:F12)</f>
        <v>226686.663749647</v>
      </c>
      <c r="G13" s="15" t="n">
        <f aca="false">SUM(G7:G12)</f>
        <v>274181.208940169</v>
      </c>
      <c r="H13" s="15" t="n">
        <f aca="false">SUM(H7:H12)</f>
        <v>334024.967403131</v>
      </c>
    </row>
    <row r="15" customFormat="false" ht="14.25" hidden="false" customHeight="true" outlineLevel="0" collapsed="false">
      <c r="A15" s="1" t="s">
        <v>99</v>
      </c>
      <c r="B15" s="13" t="n">
        <v>91479</v>
      </c>
      <c r="C15" s="13" t="n">
        <v>77723</v>
      </c>
      <c r="D15" s="13" t="n">
        <f aca="false">C15</f>
        <v>77723</v>
      </c>
      <c r="E15" s="13" t="n">
        <f aca="false">D15</f>
        <v>77723</v>
      </c>
      <c r="F15" s="13" t="n">
        <f aca="false">E15</f>
        <v>77723</v>
      </c>
      <c r="G15" s="13" t="n">
        <f aca="false">F15</f>
        <v>77723</v>
      </c>
      <c r="H15" s="13" t="n">
        <f aca="false">G15</f>
        <v>77723</v>
      </c>
    </row>
    <row r="16" customFormat="false" ht="14.25" hidden="false" customHeight="true" outlineLevel="0" collapsed="false">
      <c r="A16" s="1" t="s">
        <v>100</v>
      </c>
      <c r="B16" s="13" t="n">
        <v>45680</v>
      </c>
      <c r="C16" s="13" t="n">
        <v>49834</v>
      </c>
      <c r="D16" s="14" t="n">
        <f aca="false">'SUPPORTING SCHEDULES'!D19</f>
        <v>51872.18</v>
      </c>
      <c r="E16" s="14" t="n">
        <f aca="false">'SUPPORTING SCHEDULES'!E19</f>
        <v>54441.5786</v>
      </c>
      <c r="F16" s="14" t="n">
        <f aca="false">'SUPPORTING SCHEDULES'!F19</f>
        <v>57692.223415</v>
      </c>
      <c r="G16" s="14" t="n">
        <f aca="false">'SUPPORTING SCHEDULES'!G19</f>
        <v>61211.473146625</v>
      </c>
      <c r="H16" s="14" t="n">
        <f aca="false">'SUPPORTING SCHEDULES'!H19</f>
        <v>65244.9490543675</v>
      </c>
    </row>
    <row r="17" customFormat="false" ht="14.25" hidden="false" customHeight="true" outlineLevel="0" collapsed="false">
      <c r="A17" s="1" t="s">
        <v>101</v>
      </c>
      <c r="B17" s="16" t="n">
        <f aca="false">B34-SUM(B7:B12)-B15-B16</f>
        <v>74834</v>
      </c>
      <c r="C17" s="16" t="n">
        <f aca="false">C34-SUM(C7:C12)-C15-C16</f>
        <v>83727</v>
      </c>
      <c r="D17" s="16" t="n">
        <f aca="false">D34-SUM(D7:D12)-D15-D16</f>
        <v>83727</v>
      </c>
      <c r="E17" s="16" t="n">
        <f aca="false">E34-SUM(E7:E12)-E15-E16</f>
        <v>83727</v>
      </c>
      <c r="F17" s="16" t="n">
        <f aca="false">F34-SUM(F7:F12)-F15-F16</f>
        <v>83727</v>
      </c>
      <c r="G17" s="16" t="n">
        <f aca="false">G34-SUM(G7:G12)-G15-G16</f>
        <v>83727.0000000001</v>
      </c>
      <c r="H17" s="16" t="n">
        <f aca="false">H34-SUM(H7:H12)-H15-H16</f>
        <v>83727</v>
      </c>
    </row>
    <row r="18" customFormat="false" ht="14.25" hidden="false" customHeight="true" outlineLevel="0" collapsed="false">
      <c r="A18" s="4" t="s">
        <v>102</v>
      </c>
      <c r="B18" s="15" t="n">
        <f aca="false">SUM(B15:B17)</f>
        <v>211993</v>
      </c>
      <c r="C18" s="15" t="n">
        <f aca="false">SUM(C15:C17)</f>
        <v>211284</v>
      </c>
      <c r="D18" s="15" t="n">
        <f aca="false">SUM(D15:D17)</f>
        <v>213322.18</v>
      </c>
      <c r="E18" s="15" t="n">
        <f aca="false">SUM(E15:E17)</f>
        <v>215891.5786</v>
      </c>
      <c r="F18" s="15" t="n">
        <f aca="false">SUM(F15:F17)</f>
        <v>219142.223415</v>
      </c>
      <c r="G18" s="15" t="n">
        <f aca="false">SUM(G15:G17)</f>
        <v>222661.473146625</v>
      </c>
      <c r="H18" s="15" t="n">
        <f aca="false">SUM(H15:H17)</f>
        <v>226694.949054368</v>
      </c>
    </row>
    <row r="19" customFormat="false" ht="14.25" hidden="false" customHeight="true" outlineLevel="0" collapsed="false">
      <c r="A19" s="4" t="s">
        <v>103</v>
      </c>
      <c r="B19" s="15" t="n">
        <f aca="false">B13+B18</f>
        <v>364980</v>
      </c>
      <c r="C19" s="15" t="n">
        <f aca="false">C13+C18</f>
        <v>359241</v>
      </c>
      <c r="D19" s="15" t="n">
        <f aca="false">D13+D18</f>
        <v>377664.150467069</v>
      </c>
      <c r="E19" s="15" t="n">
        <f aca="false">E13+E18</f>
        <v>405704.791714957</v>
      </c>
      <c r="F19" s="15" t="n">
        <f aca="false">F13+F18</f>
        <v>445828.887164647</v>
      </c>
      <c r="G19" s="15" t="n">
        <f aca="false">G13+G18</f>
        <v>496842.682086794</v>
      </c>
      <c r="H19" s="15" t="n">
        <f aca="false">H13+H18</f>
        <v>560719.916457498</v>
      </c>
    </row>
    <row r="21" customFormat="false" ht="14.25" hidden="false" customHeight="true" outlineLevel="0" collapsed="false">
      <c r="A21" s="3" t="s">
        <v>104</v>
      </c>
    </row>
    <row r="22" customFormat="false" ht="14.25" hidden="false" customHeight="true" outlineLevel="0" collapsed="false">
      <c r="A22" s="1" t="s">
        <v>105</v>
      </c>
      <c r="B22" s="13" t="n">
        <v>68960</v>
      </c>
      <c r="C22" s="13" t="n">
        <v>69860</v>
      </c>
      <c r="D22" s="14" t="n">
        <f aca="false">'INCOME STATEMENT'!D18*ASSUMPTIONS!D26/ASSUMPTIONS!D35</f>
        <v>73259.1351147945</v>
      </c>
      <c r="E22" s="14" t="n">
        <f aca="false">'INCOME STATEMENT'!E18*ASSUMPTIONS!E26/ASSUMPTIONS!E35</f>
        <v>76025.8827973726</v>
      </c>
      <c r="F22" s="14" t="n">
        <f aca="false">'INCOME STATEMENT'!F18*ASSUMPTIONS!F26/ASSUMPTIONS!F35</f>
        <v>78503.4670687774</v>
      </c>
      <c r="G22" s="14" t="n">
        <f aca="false">'INCOME STATEMENT'!G18*ASSUMPTIONS!G26/ASSUMPTIONS!G35</f>
        <v>81825.3913302853</v>
      </c>
      <c r="H22" s="14" t="n">
        <f aca="false">'INCOME STATEMENT'!H18*ASSUMPTIONS!H26/ASSUMPTIONS!H35</f>
        <v>84455.3219651386</v>
      </c>
    </row>
    <row r="23" customFormat="false" ht="14.25" hidden="false" customHeight="true" outlineLevel="0" collapsed="false">
      <c r="A23" s="1" t="s">
        <v>106</v>
      </c>
      <c r="B23" s="13" t="n">
        <v>8249</v>
      </c>
      <c r="C23" s="13" t="n">
        <v>9055</v>
      </c>
      <c r="D23" s="14" t="n">
        <f aca="false">'INCOME STATEMENT'!D12*ASSUMPTIONS!D27/ASSUMPTIONS!D35</f>
        <v>10048.517260274</v>
      </c>
      <c r="E23" s="14" t="n">
        <f aca="false">'INCOME STATEMENT'!E12*ASSUMPTIONS!E27/ASSUMPTIONS!E35</f>
        <v>11153.8541589041</v>
      </c>
      <c r="F23" s="14" t="n">
        <f aca="false">'INCOME STATEMENT'!F12*ASSUMPTIONS!F27/ASSUMPTIONS!F35</f>
        <v>12269.2395747945</v>
      </c>
      <c r="G23" s="14" t="n">
        <f aca="false">'INCOME STATEMENT'!G12*ASSUMPTIONS!G27/ASSUMPTIONS!G35</f>
        <v>13373.471136526</v>
      </c>
      <c r="H23" s="14" t="n">
        <f aca="false">'INCOME STATEMENT'!H12*ASSUMPTIONS!H27/ASSUMPTIONS!H35</f>
        <v>14577.0835388134</v>
      </c>
    </row>
    <row r="24" customFormat="false" ht="14.25" hidden="false" customHeight="true" outlineLevel="0" collapsed="false">
      <c r="A24" s="1" t="s">
        <v>107</v>
      </c>
      <c r="B24" s="13" t="n">
        <v>106629</v>
      </c>
      <c r="C24" s="13" t="n">
        <v>98657</v>
      </c>
      <c r="D24" s="14" t="n">
        <f aca="false">'SUPPORTING SCHEDULES'!D24</f>
        <v>89657</v>
      </c>
      <c r="E24" s="14" t="n">
        <f aca="false">'SUPPORTING SCHEDULES'!E24</f>
        <v>81657</v>
      </c>
      <c r="F24" s="14" t="n">
        <f aca="false">'SUPPORTING SCHEDULES'!F24</f>
        <v>74657</v>
      </c>
      <c r="G24" s="14" t="n">
        <f aca="false">'SUPPORTING SCHEDULES'!G24</f>
        <v>68657</v>
      </c>
      <c r="H24" s="14" t="n">
        <f aca="false">'SUPPORTING SCHEDULES'!H24</f>
        <v>63657</v>
      </c>
    </row>
    <row r="25" customFormat="false" ht="14.25" hidden="false" customHeight="true" outlineLevel="0" collapsed="false">
      <c r="A25" s="1" t="s">
        <v>108</v>
      </c>
      <c r="B25" s="13" t="n">
        <v>78304</v>
      </c>
      <c r="C25" s="13" t="n">
        <v>66387</v>
      </c>
      <c r="D25" s="13" t="n">
        <f aca="false">C25</f>
        <v>66387</v>
      </c>
      <c r="E25" s="13" t="n">
        <f aca="false">D25</f>
        <v>66387</v>
      </c>
      <c r="F25" s="13" t="n">
        <f aca="false">E25</f>
        <v>66387</v>
      </c>
      <c r="G25" s="13" t="n">
        <f aca="false">F25</f>
        <v>66387</v>
      </c>
      <c r="H25" s="13" t="n">
        <f aca="false">G25</f>
        <v>66387</v>
      </c>
    </row>
    <row r="26" customFormat="false" ht="14.25" hidden="false" customHeight="true" outlineLevel="0" collapsed="false">
      <c r="A26" s="1" t="s">
        <v>109</v>
      </c>
      <c r="B26" s="13" t="n">
        <v>45888</v>
      </c>
      <c r="C26" s="13" t="n">
        <v>41549</v>
      </c>
      <c r="D26" s="13" t="n">
        <f aca="false">C26</f>
        <v>41549</v>
      </c>
      <c r="E26" s="13" t="n">
        <f aca="false">D26</f>
        <v>41549</v>
      </c>
      <c r="F26" s="13" t="n">
        <f aca="false">E26</f>
        <v>41549</v>
      </c>
      <c r="G26" s="13" t="n">
        <f aca="false">F26</f>
        <v>41549</v>
      </c>
      <c r="H26" s="13" t="n">
        <f aca="false">G26</f>
        <v>41549</v>
      </c>
    </row>
    <row r="27" customFormat="false" ht="14.25" hidden="false" customHeight="true" outlineLevel="0" collapsed="false">
      <c r="A27" s="4" t="s">
        <v>110</v>
      </c>
      <c r="B27" s="15" t="n">
        <f aca="false">SUM(B22:B26)</f>
        <v>308030</v>
      </c>
      <c r="C27" s="15" t="n">
        <f aca="false">SUM(C22:C26)</f>
        <v>285508</v>
      </c>
      <c r="D27" s="15" t="n">
        <f aca="false">SUM(D22:D26)</f>
        <v>280900.652375069</v>
      </c>
      <c r="E27" s="15" t="n">
        <f aca="false">SUM(E22:E26)</f>
        <v>276772.736956277</v>
      </c>
      <c r="F27" s="15" t="n">
        <f aca="false">SUM(F22:F26)</f>
        <v>273365.706643572</v>
      </c>
      <c r="G27" s="15" t="n">
        <f aca="false">SUM(G22:G26)</f>
        <v>271791.862466811</v>
      </c>
      <c r="H27" s="15" t="n">
        <f aca="false">SUM(H22:H26)</f>
        <v>270625.405503952</v>
      </c>
    </row>
    <row r="29" customFormat="false" ht="14.25" hidden="false" customHeight="true" outlineLevel="0" collapsed="false">
      <c r="A29" s="3" t="s">
        <v>111</v>
      </c>
    </row>
    <row r="30" customFormat="false" ht="14.25" hidden="false" customHeight="true" outlineLevel="0" collapsed="false">
      <c r="A30" s="1" t="s">
        <v>112</v>
      </c>
      <c r="B30" s="13" t="n">
        <v>83276</v>
      </c>
      <c r="C30" s="13" t="n">
        <v>93568</v>
      </c>
      <c r="D30" s="14" t="n">
        <f aca="false">C30+'CASH FLOW STATEMENT'!D9</f>
        <v>106721.5081</v>
      </c>
      <c r="E30" s="14" t="n">
        <f aca="false">D30+'CASH FLOW STATEMENT'!E9</f>
        <v>120568.095085</v>
      </c>
      <c r="F30" s="14" t="n">
        <f aca="false">E30+'CASH FLOW STATEMENT'!F9</f>
        <v>135153.75423631</v>
      </c>
      <c r="G30" s="14" t="n">
        <f aca="false">F30+'CASH FLOW STATEMENT'!G9</f>
        <v>150491.574388055</v>
      </c>
      <c r="H30" s="14" t="n">
        <f aca="false">G30+'CASH FLOW STATEMENT'!H9</f>
        <v>166629.966237595</v>
      </c>
    </row>
    <row r="31" customFormat="false" ht="14.25" hidden="false" customHeight="true" outlineLevel="0" collapsed="false">
      <c r="A31" s="1" t="s">
        <v>113</v>
      </c>
      <c r="B31" s="13" t="n">
        <v>-19154</v>
      </c>
      <c r="C31" s="13" t="n">
        <v>-14264</v>
      </c>
      <c r="D31" s="14" t="n">
        <f aca="false">C31+'INCOME STATEMENT'!D32+ASSUMPTIONS!D33+ASSUMPTIONS!D34</f>
        <v>-4387.01000800001</v>
      </c>
      <c r="E31" s="14" t="n">
        <f aca="false">D31+'INCOME STATEMENT'!E32+ASSUMPTIONS!E33+ASSUMPTIONS!E34</f>
        <v>13934.95967368</v>
      </c>
      <c r="F31" s="14" t="n">
        <f aca="false">E31+'INCOME STATEMENT'!F32+ASSUMPTIONS!F33+ASSUMPTIONS!F34</f>
        <v>42880.4262847652</v>
      </c>
      <c r="G31" s="14" t="n">
        <f aca="false">F31+'INCOME STATEMENT'!G32+ASSUMPTIONS!G33+ASSUMPTIONS!G34</f>
        <v>80130.2452319279</v>
      </c>
      <c r="H31" s="14" t="n">
        <f aca="false">G31+'INCOME STATEMENT'!H32+ASSUMPTIONS!H33+ASSUMPTIONS!H34</f>
        <v>129035.544715951</v>
      </c>
    </row>
    <row r="32" customFormat="false" ht="14.25" hidden="false" customHeight="true" outlineLevel="0" collapsed="false">
      <c r="A32" s="1" t="s">
        <v>114</v>
      </c>
      <c r="B32" s="13" t="n">
        <v>-7172</v>
      </c>
      <c r="C32" s="13" t="n">
        <v>-5571</v>
      </c>
      <c r="D32" s="13" t="n">
        <f aca="false">C32</f>
        <v>-5571</v>
      </c>
      <c r="E32" s="13" t="n">
        <f aca="false">D32</f>
        <v>-5571</v>
      </c>
      <c r="F32" s="13" t="n">
        <f aca="false">E32</f>
        <v>-5571</v>
      </c>
      <c r="G32" s="13" t="n">
        <f aca="false">F32</f>
        <v>-5571</v>
      </c>
      <c r="H32" s="13" t="n">
        <f aca="false">G32</f>
        <v>-5571</v>
      </c>
    </row>
    <row r="33" customFormat="false" ht="14.25" hidden="false" customHeight="true" outlineLevel="0" collapsed="false">
      <c r="A33" s="4" t="s">
        <v>115</v>
      </c>
      <c r="B33" s="15" t="n">
        <f aca="false">SUM(B30:B32)</f>
        <v>56950</v>
      </c>
      <c r="C33" s="15" t="n">
        <f aca="false">SUM(C30:C32)</f>
        <v>73733</v>
      </c>
      <c r="D33" s="15" t="n">
        <f aca="false">SUM(D30:D32)</f>
        <v>96763.498092</v>
      </c>
      <c r="E33" s="15" t="n">
        <f aca="false">SUM(E30:E32)</f>
        <v>128932.05475868</v>
      </c>
      <c r="F33" s="15" t="n">
        <f aca="false">SUM(F30:F32)</f>
        <v>172463.180521075</v>
      </c>
      <c r="G33" s="15" t="n">
        <f aca="false">SUM(G30:G32)</f>
        <v>225050.819619983</v>
      </c>
      <c r="H33" s="15" t="n">
        <f aca="false">SUM(H30:H32)</f>
        <v>290094.510953547</v>
      </c>
    </row>
    <row r="34" customFormat="false" ht="14.25" hidden="false" customHeight="true" outlineLevel="0" collapsed="false">
      <c r="A34" s="4" t="s">
        <v>116</v>
      </c>
      <c r="B34" s="15" t="n">
        <f aca="false">B27+B33</f>
        <v>364980</v>
      </c>
      <c r="C34" s="15" t="n">
        <f aca="false">C27+C33</f>
        <v>359241</v>
      </c>
      <c r="D34" s="15" t="n">
        <f aca="false">D27+D33</f>
        <v>377664.150467069</v>
      </c>
      <c r="E34" s="15" t="n">
        <f aca="false">E27+E33</f>
        <v>405704.791714957</v>
      </c>
      <c r="F34" s="15" t="n">
        <f aca="false">F27+F33</f>
        <v>445828.887164647</v>
      </c>
      <c r="G34" s="15" t="n">
        <f aca="false">G27+G33</f>
        <v>496842.682086794</v>
      </c>
      <c r="H34" s="15" t="n">
        <f aca="false">H27+H33</f>
        <v>560719.916457498</v>
      </c>
    </row>
    <row r="36" customFormat="false" ht="14.25" hidden="false" customHeight="true" outlineLevel="0" collapsed="false">
      <c r="A36" s="1" t="s">
        <v>117</v>
      </c>
      <c r="B36" s="16" t="n">
        <f aca="false">B19-B34</f>
        <v>0</v>
      </c>
      <c r="C36" s="16" t="n">
        <f aca="false">C19-C34</f>
        <v>0</v>
      </c>
      <c r="D36" s="16" t="n">
        <f aca="false">D19-D34</f>
        <v>0</v>
      </c>
      <c r="E36" s="16" t="n">
        <f aca="false">E19-E34</f>
        <v>0</v>
      </c>
      <c r="F36" s="16" t="n">
        <f aca="false">F19-F34</f>
        <v>0</v>
      </c>
      <c r="G36" s="16" t="n">
        <f aca="false">G19-G34</f>
        <v>0</v>
      </c>
      <c r="H36" s="16" t="n">
        <f aca="false">H19-H34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3"/>
  </cols>
  <sheetData>
    <row r="1" customFormat="false" ht="14.25" hidden="false" customHeight="true" outlineLevel="0" collapsed="false">
      <c r="B1" s="4" t="s">
        <v>29</v>
      </c>
      <c r="D1" s="5" t="s">
        <v>30</v>
      </c>
      <c r="E1" s="6"/>
      <c r="F1" s="6"/>
      <c r="G1" s="6"/>
      <c r="H1" s="6"/>
    </row>
    <row r="2" customFormat="false" ht="14.25" hidden="false" customHeight="true" outlineLevel="0" collapsed="false">
      <c r="B2" s="4" t="s">
        <v>31</v>
      </c>
      <c r="C2" s="4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</row>
    <row r="4" customFormat="false" ht="15" hidden="false" customHeight="true" outlineLevel="0" collapsed="false">
      <c r="A4" s="7" t="s">
        <v>118</v>
      </c>
      <c r="B4" s="8"/>
      <c r="C4" s="8"/>
      <c r="D4" s="8"/>
      <c r="E4" s="8"/>
      <c r="F4" s="8"/>
      <c r="G4" s="8"/>
      <c r="H4" s="8"/>
    </row>
    <row r="6" customFormat="false" ht="14.25" hidden="false" customHeight="true" outlineLevel="0" collapsed="false">
      <c r="A6" s="3" t="s">
        <v>119</v>
      </c>
    </row>
    <row r="7" customFormat="false" ht="14.25" hidden="false" customHeight="true" outlineLevel="0" collapsed="false">
      <c r="A7" s="1" t="s">
        <v>89</v>
      </c>
      <c r="B7" s="14" t="n">
        <f aca="false">'INCOME STATEMENT'!B32</f>
        <v>93736</v>
      </c>
      <c r="C7" s="14" t="n">
        <f aca="false">'INCOME STATEMENT'!C32</f>
        <v>112010</v>
      </c>
      <c r="D7" s="14" t="n">
        <f aca="false">'INCOME STATEMENT'!D32</f>
        <v>121076.989992</v>
      </c>
      <c r="E7" s="14" t="n">
        <f aca="false">'INCOME STATEMENT'!E32</f>
        <v>130321.96968168</v>
      </c>
      <c r="F7" s="14" t="n">
        <f aca="false">'INCOME STATEMENT'!F32</f>
        <v>141795.466611085</v>
      </c>
      <c r="G7" s="14" t="n">
        <f aca="false">'INCOME STATEMENT'!G32</f>
        <v>150999.818947163</v>
      </c>
      <c r="H7" s="14" t="n">
        <f aca="false">'INCOME STATEMENT'!H32</f>
        <v>163605.299484024</v>
      </c>
    </row>
    <row r="8" customFormat="false" ht="14.25" hidden="false" customHeight="true" outlineLevel="0" collapsed="false">
      <c r="A8" s="1" t="s">
        <v>120</v>
      </c>
      <c r="B8" s="13" t="n">
        <v>11445</v>
      </c>
      <c r="C8" s="13" t="n">
        <v>11698</v>
      </c>
      <c r="D8" s="14" t="n">
        <f aca="false">'SUPPORTING SCHEDULES'!D18</f>
        <v>11461.82</v>
      </c>
      <c r="E8" s="14" t="n">
        <f aca="false">'SUPPORTING SCHEDULES'!E18</f>
        <v>11930.6014</v>
      </c>
      <c r="F8" s="14" t="n">
        <f aca="false">'SUPPORTING SCHEDULES'!F18</f>
        <v>12249.355185</v>
      </c>
      <c r="G8" s="14" t="n">
        <f aca="false">'SUPPORTING SCHEDULES'!G18</f>
        <v>12980.750268375</v>
      </c>
      <c r="H8" s="14" t="n">
        <f aca="false">'SUPPORTING SCHEDULES'!H18</f>
        <v>13466.5240922575</v>
      </c>
    </row>
    <row r="9" customFormat="false" ht="14.25" hidden="false" customHeight="true" outlineLevel="0" collapsed="false">
      <c r="A9" s="1" t="s">
        <v>121</v>
      </c>
      <c r="B9" s="13" t="n">
        <v>11688</v>
      </c>
      <c r="C9" s="13" t="n">
        <v>12863</v>
      </c>
      <c r="D9" s="14" t="n">
        <f aca="false">'INCOME STATEMENT'!D13*ASSUMPTIONS!D37</f>
        <v>13153.5081</v>
      </c>
      <c r="E9" s="14" t="n">
        <f aca="false">'INCOME STATEMENT'!E13*ASSUMPTIONS!E37</f>
        <v>13846.586985</v>
      </c>
      <c r="F9" s="14" t="n">
        <f aca="false">'INCOME STATEMENT'!F13*ASSUMPTIONS!F37</f>
        <v>14585.65915131</v>
      </c>
      <c r="G9" s="14" t="n">
        <f aca="false">'INCOME STATEMENT'!G13*ASSUMPTIONS!G37</f>
        <v>15337.8201517448</v>
      </c>
      <c r="H9" s="14" t="n">
        <f aca="false">'INCOME STATEMENT'!H13*ASSUMPTIONS!H37</f>
        <v>16138.3918495403</v>
      </c>
    </row>
    <row r="10" customFormat="false" ht="14.25" hidden="false" customHeight="true" outlineLevel="0" collapsed="false">
      <c r="A10" s="1" t="s">
        <v>122</v>
      </c>
      <c r="B10" s="13" t="n">
        <v>-170</v>
      </c>
      <c r="C10" s="14" t="n">
        <f aca="false">-'SUPPORTING SCHEDULES'!C13</f>
        <v>-3440</v>
      </c>
      <c r="D10" s="14" t="n">
        <f aca="false">-'SUPPORTING SCHEDULES'!D13</f>
        <v>1128.46999972605</v>
      </c>
      <c r="E10" s="14" t="n">
        <f aca="false">-'SUPPORTING SCHEDULES'!E13</f>
        <v>-351.966726271246</v>
      </c>
      <c r="F10" s="14" t="n">
        <f aca="false">-'SUPPORTING SCHEDULES'!F13</f>
        <v>-870.985677486358</v>
      </c>
      <c r="G10" s="14" t="n">
        <f aca="false">-'SUPPORTING SCHEDULES'!G13</f>
        <v>-185.270973653722</v>
      </c>
      <c r="H10" s="14" t="n">
        <f aca="false">-'SUPPORTING SCHEDULES'!H13</f>
        <v>-997.26630522155</v>
      </c>
    </row>
    <row r="11" customFormat="false" ht="14.25" hidden="false" customHeight="true" outlineLevel="0" collapsed="false">
      <c r="A11" s="1" t="s">
        <v>123</v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</row>
    <row r="12" customFormat="false" ht="14.25" hidden="false" customHeight="true" outlineLevel="0" collapsed="false">
      <c r="A12" s="4" t="s">
        <v>124</v>
      </c>
      <c r="B12" s="15" t="n">
        <f aca="false">SUM(B7:B11)</f>
        <v>116699</v>
      </c>
      <c r="C12" s="15" t="n">
        <f aca="false">SUM(C7:C11)</f>
        <v>133131</v>
      </c>
      <c r="D12" s="15" t="n">
        <f aca="false">SUM(D7:D11)</f>
        <v>146820.788091726</v>
      </c>
      <c r="E12" s="15" t="n">
        <f aca="false">SUM(E7:E11)</f>
        <v>155747.191340409</v>
      </c>
      <c r="F12" s="15" t="n">
        <f aca="false">SUM(F7:F11)</f>
        <v>167759.495269909</v>
      </c>
      <c r="G12" s="15" t="n">
        <f aca="false">SUM(G7:G11)</f>
        <v>179133.118393629</v>
      </c>
      <c r="H12" s="15" t="n">
        <f aca="false">SUM(H7:H11)</f>
        <v>192212.9491206</v>
      </c>
    </row>
    <row r="14" customFormat="false" ht="14.25" hidden="false" customHeight="true" outlineLevel="0" collapsed="false">
      <c r="A14" s="3" t="s">
        <v>125</v>
      </c>
    </row>
    <row r="15" customFormat="false" ht="14.25" hidden="false" customHeight="true" outlineLevel="0" collapsed="false">
      <c r="A15" s="1" t="s">
        <v>126</v>
      </c>
      <c r="B15" s="13" t="n">
        <v>-9447</v>
      </c>
      <c r="C15" s="13" t="n">
        <v>-12715</v>
      </c>
      <c r="D15" s="14" t="n">
        <f aca="false">ASSUMPTIONS!D30</f>
        <v>-13500</v>
      </c>
      <c r="E15" s="14" t="n">
        <f aca="false">ASSUMPTIONS!E30</f>
        <v>-14500</v>
      </c>
      <c r="F15" s="14" t="n">
        <f aca="false">ASSUMPTIONS!F30</f>
        <v>-15500</v>
      </c>
      <c r="G15" s="14" t="n">
        <f aca="false">ASSUMPTIONS!G30</f>
        <v>-16500</v>
      </c>
      <c r="H15" s="14" t="n">
        <f aca="false">ASSUMPTIONS!H30</f>
        <v>-17500</v>
      </c>
    </row>
    <row r="16" customFormat="false" ht="14.25" hidden="false" customHeight="true" outlineLevel="0" collapsed="false">
      <c r="A16" s="4" t="s">
        <v>127</v>
      </c>
      <c r="B16" s="15" t="n">
        <f aca="false">SUM(B15)</f>
        <v>-9447</v>
      </c>
      <c r="C16" s="15" t="n">
        <f aca="false">SUM(C15)</f>
        <v>-12715</v>
      </c>
      <c r="D16" s="15" t="n">
        <f aca="false">SUM(D15)</f>
        <v>-13500</v>
      </c>
      <c r="E16" s="15" t="n">
        <f aca="false">SUM(E15)</f>
        <v>-14500</v>
      </c>
      <c r="F16" s="15" t="n">
        <f aca="false">SUM(F15)</f>
        <v>-15500</v>
      </c>
      <c r="G16" s="15" t="n">
        <f aca="false">SUM(G15)</f>
        <v>-16500</v>
      </c>
      <c r="H16" s="15" t="n">
        <f aca="false">SUM(H15)</f>
        <v>-17500</v>
      </c>
    </row>
    <row r="18" customFormat="false" ht="14.25" hidden="false" customHeight="true" outlineLevel="0" collapsed="false">
      <c r="A18" s="3" t="s">
        <v>128</v>
      </c>
    </row>
    <row r="19" customFormat="false" ht="14.25" hidden="false" customHeight="true" outlineLevel="0" collapsed="false">
      <c r="A19" s="1" t="s">
        <v>129</v>
      </c>
      <c r="B19" s="14" t="n">
        <f aca="false">ASSUMPTIONS!B31+ASSUMPTIONS!B32</f>
        <v>-5998</v>
      </c>
      <c r="C19" s="14" t="n">
        <f aca="false">ASSUMPTIONS!C31+ASSUMPTIONS!C32</f>
        <v>-8483</v>
      </c>
      <c r="D19" s="14" t="n">
        <f aca="false">ASSUMPTIONS!D31+ASSUMPTIONS!D32</f>
        <v>-9000</v>
      </c>
      <c r="E19" s="14" t="n">
        <f aca="false">ASSUMPTIONS!E31+ASSUMPTIONS!E32</f>
        <v>-8000</v>
      </c>
      <c r="F19" s="14" t="n">
        <f aca="false">ASSUMPTIONS!F31+ASSUMPTIONS!F32</f>
        <v>-7000</v>
      </c>
      <c r="G19" s="14" t="n">
        <f aca="false">ASSUMPTIONS!G31+ASSUMPTIONS!G32</f>
        <v>-6000</v>
      </c>
      <c r="H19" s="14" t="n">
        <f aca="false">ASSUMPTIONS!H31+ASSUMPTIONS!H32</f>
        <v>-5000</v>
      </c>
    </row>
    <row r="20" customFormat="false" ht="14.25" hidden="false" customHeight="true" outlineLevel="0" collapsed="false">
      <c r="A20" s="1" t="s">
        <v>130</v>
      </c>
      <c r="B20" s="14" t="n">
        <f aca="false">ASSUMPTIONS!B33</f>
        <v>-15234</v>
      </c>
      <c r="C20" s="14" t="n">
        <f aca="false">ASSUMPTIONS!C33</f>
        <v>-15421</v>
      </c>
      <c r="D20" s="14" t="n">
        <f aca="false">ASSUMPTIONS!D33</f>
        <v>-16200</v>
      </c>
      <c r="E20" s="14" t="n">
        <f aca="false">ASSUMPTIONS!E33</f>
        <v>-17000</v>
      </c>
      <c r="F20" s="14" t="n">
        <f aca="false">ASSUMPTIONS!F33</f>
        <v>-17850</v>
      </c>
      <c r="G20" s="14" t="n">
        <f aca="false">ASSUMPTIONS!G33</f>
        <v>-18750</v>
      </c>
      <c r="H20" s="14" t="n">
        <f aca="false">ASSUMPTIONS!H33</f>
        <v>-19700</v>
      </c>
    </row>
    <row r="21" customFormat="false" ht="14.25" hidden="false" customHeight="true" outlineLevel="0" collapsed="false">
      <c r="A21" s="1" t="s">
        <v>131</v>
      </c>
      <c r="B21" s="14" t="n">
        <f aca="false">ASSUMPTIONS!B34</f>
        <v>-94949</v>
      </c>
      <c r="C21" s="14" t="n">
        <f aca="false">ASSUMPTIONS!C34</f>
        <v>-90711</v>
      </c>
      <c r="D21" s="14" t="n">
        <f aca="false">ASSUMPTIONS!D34</f>
        <v>-95000</v>
      </c>
      <c r="E21" s="14" t="n">
        <f aca="false">ASSUMPTIONS!E34</f>
        <v>-95000</v>
      </c>
      <c r="F21" s="14" t="n">
        <f aca="false">ASSUMPTIONS!F34</f>
        <v>-95000</v>
      </c>
      <c r="G21" s="14" t="n">
        <f aca="false">ASSUMPTIONS!G34</f>
        <v>-95000</v>
      </c>
      <c r="H21" s="14" t="n">
        <f aca="false">ASSUMPTIONS!H34</f>
        <v>-95000</v>
      </c>
    </row>
    <row r="22" customFormat="false" ht="14.25" hidden="false" customHeight="true" outlineLevel="0" collapsed="false">
      <c r="A22" s="4" t="s">
        <v>132</v>
      </c>
      <c r="B22" s="15" t="n">
        <f aca="false">SUM(B19:B21)</f>
        <v>-116181</v>
      </c>
      <c r="C22" s="15" t="n">
        <f aca="false">SUM(C19:C21)</f>
        <v>-114615</v>
      </c>
      <c r="D22" s="15" t="n">
        <f aca="false">SUM(D19:D21)</f>
        <v>-120200</v>
      </c>
      <c r="E22" s="15" t="n">
        <f aca="false">SUM(E19:E21)</f>
        <v>-120000</v>
      </c>
      <c r="F22" s="15" t="n">
        <f aca="false">SUM(F19:F21)</f>
        <v>-119850</v>
      </c>
      <c r="G22" s="15" t="n">
        <f aca="false">SUM(G19:G21)</f>
        <v>-119750</v>
      </c>
      <c r="H22" s="15" t="n">
        <f aca="false">SUM(H19:H21)</f>
        <v>-119700</v>
      </c>
    </row>
    <row r="24" customFormat="false" ht="14.25" hidden="false" customHeight="true" outlineLevel="0" collapsed="false">
      <c r="A24" s="4" t="s">
        <v>133</v>
      </c>
      <c r="B24" s="15" t="n">
        <f aca="false">B12+B16+B22</f>
        <v>-8929</v>
      </c>
      <c r="C24" s="15" t="n">
        <f aca="false">C12+C16+C22</f>
        <v>5801</v>
      </c>
      <c r="D24" s="15" t="n">
        <f aca="false">D12+D16+D22</f>
        <v>13120.788091726</v>
      </c>
      <c r="E24" s="15" t="n">
        <f aca="false">E12+E16+E22</f>
        <v>21247.1913404088</v>
      </c>
      <c r="F24" s="15" t="n">
        <f aca="false">F12+F16+F22</f>
        <v>32409.4952699089</v>
      </c>
      <c r="G24" s="15" t="n">
        <f aca="false">G12+G16+G22</f>
        <v>42883.1183936287</v>
      </c>
      <c r="H24" s="15" t="n">
        <f aca="false">H12+H16+H22</f>
        <v>55012.9491205998</v>
      </c>
    </row>
    <row r="25" customFormat="false" ht="14.25" hidden="false" customHeight="true" outlineLevel="0" collapsed="false">
      <c r="A25" s="1" t="s">
        <v>134</v>
      </c>
      <c r="B25" s="13" t="n">
        <v>30737</v>
      </c>
      <c r="C25" s="16" t="n">
        <f aca="false">B26</f>
        <v>21808</v>
      </c>
      <c r="D25" s="16" t="n">
        <f aca="false">'BALANCE SHEET'!C7</f>
        <v>35934</v>
      </c>
      <c r="E25" s="16" t="n">
        <f aca="false">D26</f>
        <v>49054.7880917261</v>
      </c>
      <c r="F25" s="16" t="n">
        <f aca="false">E26</f>
        <v>70301.9794321348</v>
      </c>
      <c r="G25" s="16" t="n">
        <f aca="false">F26</f>
        <v>102711.474702044</v>
      </c>
      <c r="H25" s="16" t="n">
        <f aca="false">G26</f>
        <v>145594.593095672</v>
      </c>
    </row>
    <row r="26" customFormat="false" ht="14.25" hidden="false" customHeight="true" outlineLevel="0" collapsed="false">
      <c r="A26" s="4" t="s">
        <v>135</v>
      </c>
      <c r="B26" s="15" t="n">
        <f aca="false">B24+B25</f>
        <v>21808</v>
      </c>
      <c r="C26" s="15" t="n">
        <f aca="false">C24+C25</f>
        <v>27609</v>
      </c>
      <c r="D26" s="15" t="n">
        <f aca="false">D24+D25</f>
        <v>49054.7880917261</v>
      </c>
      <c r="E26" s="15" t="n">
        <f aca="false">E24+E25</f>
        <v>70301.9794321348</v>
      </c>
      <c r="F26" s="15" t="n">
        <f aca="false">F24+F25</f>
        <v>102711.474702044</v>
      </c>
      <c r="G26" s="15" t="n">
        <f aca="false">G24+G25</f>
        <v>145594.593095672</v>
      </c>
      <c r="H26" s="15" t="n">
        <f aca="false">H24+H25</f>
        <v>200607.542216272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3"/>
  </cols>
  <sheetData>
    <row r="1" customFormat="false" ht="14.25" hidden="false" customHeight="true" outlineLevel="0" collapsed="false">
      <c r="B1" s="4" t="s">
        <v>29</v>
      </c>
      <c r="D1" s="5" t="s">
        <v>30</v>
      </c>
      <c r="E1" s="6"/>
      <c r="F1" s="6"/>
      <c r="G1" s="6"/>
      <c r="H1" s="6"/>
    </row>
    <row r="2" customFormat="false" ht="14.25" hidden="false" customHeight="true" outlineLevel="0" collapsed="false">
      <c r="B2" s="4" t="s">
        <v>31</v>
      </c>
      <c r="C2" s="4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</row>
    <row r="4" customFormat="false" ht="15" hidden="false" customHeight="true" outlineLevel="0" collapsed="false">
      <c r="A4" s="7" t="s">
        <v>136</v>
      </c>
      <c r="B4" s="8"/>
      <c r="C4" s="8"/>
      <c r="D4" s="8"/>
      <c r="E4" s="8"/>
      <c r="F4" s="8"/>
      <c r="G4" s="8"/>
      <c r="H4" s="8"/>
    </row>
    <row r="6" customFormat="false" ht="14.25" hidden="false" customHeight="true" outlineLevel="0" collapsed="false">
      <c r="A6" s="3" t="s">
        <v>137</v>
      </c>
    </row>
    <row r="7" customFormat="false" ht="14.25" hidden="false" customHeight="true" outlineLevel="0" collapsed="false">
      <c r="A7" s="1" t="s">
        <v>94</v>
      </c>
      <c r="B7" s="14" t="n">
        <f aca="false">'BALANCE SHEET'!B9</f>
        <v>33410</v>
      </c>
      <c r="C7" s="14" t="n">
        <f aca="false">'BALANCE SHEET'!C9</f>
        <v>39777</v>
      </c>
      <c r="D7" s="14" t="n">
        <f aca="false">'BALANCE SHEET'!D9</f>
        <v>39640.7093424658</v>
      </c>
      <c r="E7" s="14" t="n">
        <f aca="false">'BALANCE SHEET'!E9</f>
        <v>41729.4402287671</v>
      </c>
      <c r="F7" s="14" t="n">
        <f aca="false">'BALANCE SHEET'!F9</f>
        <v>43956.781003948</v>
      </c>
      <c r="G7" s="14" t="n">
        <f aca="false">'BALANCE SHEET'!G9</f>
        <v>46223.5675806006</v>
      </c>
      <c r="H7" s="14" t="n">
        <f aca="false">'BALANCE SHEET'!H9</f>
        <v>48636.2494095735</v>
      </c>
    </row>
    <row r="8" customFormat="false" ht="14.25" hidden="false" customHeight="true" outlineLevel="0" collapsed="false">
      <c r="A8" s="1" t="s">
        <v>95</v>
      </c>
      <c r="B8" s="14" t="n">
        <f aca="false">'BALANCE SHEET'!B10</f>
        <v>32833</v>
      </c>
      <c r="C8" s="14" t="n">
        <f aca="false">'BALANCE SHEET'!C10</f>
        <v>33180</v>
      </c>
      <c r="D8" s="14" t="n">
        <f aca="false">'BALANCE SHEET'!D10</f>
        <v>36037.0084931507</v>
      </c>
      <c r="E8" s="14" t="n">
        <f aca="false">'BALANCE SHEET'!E10</f>
        <v>37935.8547534247</v>
      </c>
      <c r="F8" s="14" t="n">
        <f aca="false">'BALANCE SHEET'!F10</f>
        <v>39960.7100035891</v>
      </c>
      <c r="G8" s="14" t="n">
        <f aca="false">'BALANCE SHEET'!G10</f>
        <v>42021.4250732733</v>
      </c>
      <c r="H8" s="14" t="n">
        <f aca="false">'BALANCE SHEET'!H10</f>
        <v>44214.7721905214</v>
      </c>
    </row>
    <row r="9" customFormat="false" ht="14.25" hidden="false" customHeight="true" outlineLevel="0" collapsed="false">
      <c r="A9" s="1" t="s">
        <v>138</v>
      </c>
      <c r="B9" s="14" t="n">
        <f aca="false">'BALANCE SHEET'!B11</f>
        <v>7286</v>
      </c>
      <c r="C9" s="14" t="n">
        <f aca="false">'BALANCE SHEET'!C11</f>
        <v>5718</v>
      </c>
      <c r="D9" s="14" t="n">
        <f aca="false">'BALANCE SHEET'!D11</f>
        <v>6261.46453972603</v>
      </c>
      <c r="E9" s="14" t="n">
        <f aca="false">'BALANCE SHEET'!E11</f>
        <v>6497.93870063014</v>
      </c>
      <c r="F9" s="14" t="n">
        <f aca="false">'BALANCE SHEET'!F11</f>
        <v>6709.69804006644</v>
      </c>
      <c r="G9" s="14" t="n">
        <f aca="false">'BALANCE SHEET'!G11</f>
        <v>6993.62319062268</v>
      </c>
      <c r="H9" s="14" t="n">
        <f aca="false">'BALANCE SHEET'!H11</f>
        <v>7218.40358676398</v>
      </c>
    </row>
    <row r="10" customFormat="false" ht="14.25" hidden="false" customHeight="true" outlineLevel="0" collapsed="false">
      <c r="A10" s="1" t="s">
        <v>105</v>
      </c>
      <c r="B10" s="14" t="n">
        <f aca="false">'BALANCE SHEET'!B22</f>
        <v>68960</v>
      </c>
      <c r="C10" s="14" t="n">
        <f aca="false">'BALANCE SHEET'!C22</f>
        <v>69860</v>
      </c>
      <c r="D10" s="14" t="n">
        <f aca="false">'BALANCE SHEET'!D22</f>
        <v>73259.1351147945</v>
      </c>
      <c r="E10" s="14" t="n">
        <f aca="false">'BALANCE SHEET'!E22</f>
        <v>76025.8827973726</v>
      </c>
      <c r="F10" s="14" t="n">
        <f aca="false">'BALANCE SHEET'!F22</f>
        <v>78503.4670687774</v>
      </c>
      <c r="G10" s="14" t="n">
        <f aca="false">'BALANCE SHEET'!G22</f>
        <v>81825.3913302853</v>
      </c>
      <c r="H10" s="14" t="n">
        <f aca="false">'BALANCE SHEET'!H22</f>
        <v>84455.3219651386</v>
      </c>
    </row>
    <row r="11" customFormat="false" ht="14.25" hidden="false" customHeight="true" outlineLevel="0" collapsed="false">
      <c r="A11" s="1" t="s">
        <v>106</v>
      </c>
      <c r="B11" s="14" t="n">
        <f aca="false">'BALANCE SHEET'!B23</f>
        <v>8249</v>
      </c>
      <c r="C11" s="14" t="n">
        <f aca="false">'BALANCE SHEET'!C23</f>
        <v>9055</v>
      </c>
      <c r="D11" s="14" t="n">
        <f aca="false">'BALANCE SHEET'!D23</f>
        <v>10048.517260274</v>
      </c>
      <c r="E11" s="14" t="n">
        <f aca="false">'BALANCE SHEET'!E23</f>
        <v>11153.8541589041</v>
      </c>
      <c r="F11" s="14" t="n">
        <f aca="false">'BALANCE SHEET'!F23</f>
        <v>12269.2395747945</v>
      </c>
      <c r="G11" s="14" t="n">
        <f aca="false">'BALANCE SHEET'!G23</f>
        <v>13373.471136526</v>
      </c>
      <c r="H11" s="14" t="n">
        <f aca="false">'BALANCE SHEET'!H23</f>
        <v>14577.0835388134</v>
      </c>
    </row>
    <row r="12" customFormat="false" ht="14.25" hidden="false" customHeight="true" outlineLevel="0" collapsed="false">
      <c r="A12" s="1" t="s">
        <v>139</v>
      </c>
      <c r="B12" s="16" t="n">
        <f aca="false">SUM(B7:B9)-SUM(B10:B11)</f>
        <v>-3680</v>
      </c>
      <c r="C12" s="16" t="n">
        <f aca="false">SUM(C7:C9)-SUM(C10:C11)</f>
        <v>-240</v>
      </c>
      <c r="D12" s="16" t="n">
        <f aca="false">SUM(D7:D9)-SUM(D10:D11)</f>
        <v>-1368.46999972605</v>
      </c>
      <c r="E12" s="16" t="n">
        <f aca="false">SUM(E7:E9)-SUM(E10:E11)</f>
        <v>-1016.5032734548</v>
      </c>
      <c r="F12" s="16" t="n">
        <f aca="false">SUM(F7:F9)-SUM(F10:F11)</f>
        <v>-145.517595968442</v>
      </c>
      <c r="G12" s="16" t="n">
        <f aca="false">SUM(G7:G9)-SUM(G10:G11)</f>
        <v>39.7533776852797</v>
      </c>
      <c r="H12" s="16" t="n">
        <f aca="false">SUM(H7:H9)-SUM(H10:H11)</f>
        <v>1037.01968290683</v>
      </c>
    </row>
    <row r="13" customFormat="false" ht="14.25" hidden="false" customHeight="true" outlineLevel="0" collapsed="false">
      <c r="A13" s="1" t="s">
        <v>140</v>
      </c>
      <c r="C13" s="16" t="n">
        <f aca="false">C12-B12</f>
        <v>3440</v>
      </c>
      <c r="D13" s="16" t="n">
        <f aca="false">D12-C12</f>
        <v>-1128.46999972605</v>
      </c>
      <c r="E13" s="16" t="n">
        <f aca="false">E12-D12</f>
        <v>351.966726271246</v>
      </c>
      <c r="F13" s="16" t="n">
        <f aca="false">F12-E12</f>
        <v>870.985677486358</v>
      </c>
      <c r="G13" s="16" t="n">
        <f aca="false">G12-F12</f>
        <v>185.270973653722</v>
      </c>
      <c r="H13" s="16" t="n">
        <f aca="false">H12-G12</f>
        <v>997.26630522155</v>
      </c>
    </row>
    <row r="15" customFormat="false" ht="14.25" hidden="false" customHeight="true" outlineLevel="0" collapsed="false">
      <c r="A15" s="3" t="s">
        <v>141</v>
      </c>
    </row>
    <row r="16" customFormat="false" ht="14.25" hidden="false" customHeight="true" outlineLevel="0" collapsed="false">
      <c r="A16" s="1" t="s">
        <v>142</v>
      </c>
      <c r="D16" s="16" t="n">
        <f aca="false">C19</f>
        <v>49834</v>
      </c>
      <c r="E16" s="16" t="n">
        <f aca="false">D19</f>
        <v>51872.18</v>
      </c>
      <c r="F16" s="16" t="n">
        <f aca="false">E19</f>
        <v>54441.5786</v>
      </c>
      <c r="G16" s="16" t="n">
        <f aca="false">F19</f>
        <v>57692.223415</v>
      </c>
      <c r="H16" s="16" t="n">
        <f aca="false">G19</f>
        <v>61211.473146625</v>
      </c>
    </row>
    <row r="17" customFormat="false" ht="14.25" hidden="false" customHeight="true" outlineLevel="0" collapsed="false">
      <c r="A17" s="1" t="s">
        <v>143</v>
      </c>
      <c r="D17" s="14" t="n">
        <f aca="false">-ASSUMPTIONS!D30</f>
        <v>13500</v>
      </c>
      <c r="E17" s="14" t="n">
        <f aca="false">-ASSUMPTIONS!E30</f>
        <v>14500</v>
      </c>
      <c r="F17" s="14" t="n">
        <f aca="false">-ASSUMPTIONS!F30</f>
        <v>15500</v>
      </c>
      <c r="G17" s="14" t="n">
        <f aca="false">-ASSUMPTIONS!G30</f>
        <v>16500</v>
      </c>
      <c r="H17" s="14" t="n">
        <f aca="false">-ASSUMPTIONS!H30</f>
        <v>17500</v>
      </c>
    </row>
    <row r="18" customFormat="false" ht="14.25" hidden="false" customHeight="true" outlineLevel="0" collapsed="false">
      <c r="A18" s="1" t="s">
        <v>144</v>
      </c>
      <c r="D18" s="14" t="n">
        <f aca="false">D16*ASSUMPTIONS!D18</f>
        <v>11461.82</v>
      </c>
      <c r="E18" s="14" t="n">
        <f aca="false">E16*ASSUMPTIONS!E18</f>
        <v>11930.6014</v>
      </c>
      <c r="F18" s="14" t="n">
        <f aca="false">F16*ASSUMPTIONS!F18</f>
        <v>12249.355185</v>
      </c>
      <c r="G18" s="14" t="n">
        <f aca="false">G16*ASSUMPTIONS!G18</f>
        <v>12980.750268375</v>
      </c>
      <c r="H18" s="14" t="n">
        <f aca="false">H16*ASSUMPTIONS!H18</f>
        <v>13466.5240922575</v>
      </c>
    </row>
    <row r="19" customFormat="false" ht="14.25" hidden="false" customHeight="true" outlineLevel="0" collapsed="false">
      <c r="A19" s="1" t="s">
        <v>145</v>
      </c>
      <c r="B19" s="14" t="n">
        <f aca="false">'BALANCE SHEET'!B16</f>
        <v>45680</v>
      </c>
      <c r="C19" s="14" t="n">
        <f aca="false">'BALANCE SHEET'!C16</f>
        <v>49834</v>
      </c>
      <c r="D19" s="16" t="n">
        <f aca="false">D16+D17-D18</f>
        <v>51872.18</v>
      </c>
      <c r="E19" s="16" t="n">
        <f aca="false">E16+E17-E18</f>
        <v>54441.5786</v>
      </c>
      <c r="F19" s="16" t="n">
        <f aca="false">F16+F17-F18</f>
        <v>57692.223415</v>
      </c>
      <c r="G19" s="16" t="n">
        <f aca="false">G16+G17-G18</f>
        <v>61211.473146625</v>
      </c>
      <c r="H19" s="16" t="n">
        <f aca="false">H16+H17-H18</f>
        <v>65244.9490543675</v>
      </c>
    </row>
    <row r="21" customFormat="false" ht="14.25" hidden="false" customHeight="true" outlineLevel="0" collapsed="false">
      <c r="A21" s="3" t="s">
        <v>146</v>
      </c>
    </row>
    <row r="22" customFormat="false" ht="14.25" hidden="false" customHeight="true" outlineLevel="0" collapsed="false">
      <c r="A22" s="1" t="s">
        <v>147</v>
      </c>
      <c r="D22" s="16" t="n">
        <f aca="false">C24</f>
        <v>98657</v>
      </c>
      <c r="E22" s="16" t="n">
        <f aca="false">D24</f>
        <v>89657</v>
      </c>
      <c r="F22" s="16" t="n">
        <f aca="false">E24</f>
        <v>81657</v>
      </c>
      <c r="G22" s="16" t="n">
        <f aca="false">F24</f>
        <v>74657</v>
      </c>
      <c r="H22" s="16" t="n">
        <f aca="false">G24</f>
        <v>68657</v>
      </c>
    </row>
    <row r="23" customFormat="false" ht="14.25" hidden="false" customHeight="true" outlineLevel="0" collapsed="false">
      <c r="A23" s="1" t="s">
        <v>148</v>
      </c>
      <c r="D23" s="14" t="n">
        <f aca="false">ASSUMPTIONS!D31+ASSUMPTIONS!D32</f>
        <v>-9000</v>
      </c>
      <c r="E23" s="14" t="n">
        <f aca="false">ASSUMPTIONS!E31+ASSUMPTIONS!E32</f>
        <v>-8000</v>
      </c>
      <c r="F23" s="14" t="n">
        <f aca="false">ASSUMPTIONS!F31+ASSUMPTIONS!F32</f>
        <v>-7000</v>
      </c>
      <c r="G23" s="14" t="n">
        <f aca="false">ASSUMPTIONS!G31+ASSUMPTIONS!G32</f>
        <v>-6000</v>
      </c>
      <c r="H23" s="14" t="n">
        <f aca="false">ASSUMPTIONS!H31+ASSUMPTIONS!H32</f>
        <v>-5000</v>
      </c>
    </row>
    <row r="24" customFormat="false" ht="14.25" hidden="false" customHeight="true" outlineLevel="0" collapsed="false">
      <c r="A24" s="1" t="s">
        <v>149</v>
      </c>
      <c r="B24" s="14" t="n">
        <f aca="false">'BALANCE SHEET'!B24</f>
        <v>106629</v>
      </c>
      <c r="C24" s="14" t="n">
        <f aca="false">'BALANCE SHEET'!C24</f>
        <v>98657</v>
      </c>
      <c r="D24" s="16" t="n">
        <f aca="false">D22+D23</f>
        <v>89657</v>
      </c>
      <c r="E24" s="16" t="n">
        <f aca="false">E22+E23</f>
        <v>81657</v>
      </c>
      <c r="F24" s="16" t="n">
        <f aca="false">F22+F23</f>
        <v>74657</v>
      </c>
      <c r="G24" s="16" t="n">
        <f aca="false">G22+G23</f>
        <v>68657</v>
      </c>
      <c r="H24" s="16" t="n">
        <f aca="false">H22+H23</f>
        <v>63657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2026-09-01T22:40:25Z</dcterms:created>
  <dc:creator>openpyxl</dc:creator>
  <dc:description/>
  <dc:language>en-US</dc:language>
  <cp:lastModifiedBy>Facundo Lezcano</cp:lastModifiedBy>
  <dcterms:modified xsi:type="dcterms:W3CDTF">2026-09-01T22:54:13Z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